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`\Downloads\"/>
    </mc:Choice>
  </mc:AlternateContent>
  <xr:revisionPtr revIDLastSave="0" documentId="13_ncr:1_{908AA288-DAB2-4ECE-900A-69765BA07BC7}" xr6:coauthVersionLast="47" xr6:coauthVersionMax="47" xr10:uidLastSave="{00000000-0000-0000-0000-000000000000}"/>
  <bookViews>
    <workbookView xWindow="-110" yWindow="-110" windowWidth="25820" windowHeight="13900" firstSheet="1" activeTab="1" xr2:uid="{B307BF49-DAD1-417D-86FF-3ADFC05011CA}"/>
  </bookViews>
  <sheets>
    <sheet name="Sheet1" sheetId="1" state="hidden" r:id="rId1"/>
    <sheet name="PPK Baru" sheetId="3" r:id="rId2"/>
    <sheet name="Sheet3" sheetId="6" r:id="rId3"/>
    <sheet name="Sheet2" sheetId="5" r:id="rId4"/>
    <sheet name="Manajer keuangan baru" sheetId="4" r:id="rId5"/>
  </sheets>
  <definedNames>
    <definedName name="_xlnm._FilterDatabase" localSheetId="4" hidden="1">'Manajer keuangan baru'!$A$1:$P$12</definedName>
    <definedName name="_xlnm._FilterDatabase" localSheetId="1" hidden="1">'PPK Baru'!$I$1:$Q$14</definedName>
    <definedName name="_xlnm._FilterDatabase" localSheetId="0" hidden="1">Sheet1!$A$1:$P$267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2" i="3"/>
  <c r="U3" i="3"/>
  <c r="U4" i="3"/>
  <c r="U5" i="3"/>
  <c r="U6" i="3"/>
  <c r="U7" i="3"/>
  <c r="U8" i="3"/>
  <c r="U9" i="3"/>
  <c r="U10" i="3"/>
  <c r="U11" i="3"/>
  <c r="U12" i="3"/>
  <c r="U13" i="3"/>
  <c r="U2" i="3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</calcChain>
</file>

<file path=xl/sharedStrings.xml><?xml version="1.0" encoding="utf-8"?>
<sst xmlns="http://schemas.openxmlformats.org/spreadsheetml/2006/main" count="2321" uniqueCount="1021">
  <si>
    <t>No.</t>
  </si>
  <si>
    <t>Nama</t>
  </si>
  <si>
    <t>NIP/NIPUT/NIPK</t>
  </si>
  <si>
    <t>Pangkat, Golongan Ruang</t>
  </si>
  <si>
    <t>Jabatan Fungsional</t>
  </si>
  <si>
    <t>Diangkat dalam Jabatan</t>
  </si>
  <si>
    <t>Masa Jabatan</t>
  </si>
  <si>
    <t>(1)</t>
  </si>
  <si>
    <t>(2)</t>
  </si>
  <si>
    <t>(3)</t>
  </si>
  <si>
    <t>(4)</t>
  </si>
  <si>
    <t>(5)</t>
  </si>
  <si>
    <t>(6)</t>
  </si>
  <si>
    <t>(7)</t>
  </si>
  <si>
    <t>Dr. Kurnia Endah Riana, S.E., M.Com.</t>
  </si>
  <si>
    <t>Heti Siti Mariana, A.Md.</t>
  </si>
  <si>
    <t>Dr. Endi Rekarti, S.E., M.S.M.</t>
  </si>
  <si>
    <t>Megafury Apriandhini, S.H., M.H.</t>
  </si>
  <si>
    <t>ing. Mohamad Rajih Radiansyah, B.AS., M.Sc.</t>
  </si>
  <si>
    <t>Sigit Purnomo, S.T., M.M.</t>
  </si>
  <si>
    <t>Ahmad Khwarizmi Suyuti, S.E., M.M.</t>
  </si>
  <si>
    <t>Nuriyawati, A.Md.</t>
  </si>
  <si>
    <t>Dr. Rini Dwiyani Hadiwidjaja, S.E., M.Si.</t>
  </si>
  <si>
    <t>Dra. Eko Kuswanti, M.Pd.</t>
  </si>
  <si>
    <t>Tri Yulianto, S.T., M.A.</t>
  </si>
  <si>
    <t>Iwan Setiyawan Prambudi, S.Kom., M.M.</t>
  </si>
  <si>
    <t>Supriyatno, S.Kom.</t>
  </si>
  <si>
    <t>Dr. Rif'at Shafwatul Anam, M.Pd.</t>
  </si>
  <si>
    <t>Nining Setianingsih, S.E.</t>
  </si>
  <si>
    <t>Erika Darmayanti, S.P.</t>
  </si>
  <si>
    <t>Setyo Kuncoro, S.S., M.A.</t>
  </si>
  <si>
    <t>Widiyanto, S.Pd., M.Kom.</t>
  </si>
  <si>
    <t xml:space="preserve">Dr. Meirani Harsasi, S.E., M.Si.                          </t>
  </si>
  <si>
    <t>Dr. Zainur Hidayah, S.Pi., M.M.</t>
  </si>
  <si>
    <t>Dr. Deni Surapto, S.E., M.Si.</t>
  </si>
  <si>
    <t>Akhmad Syafaat, S.Kom., M.T.I.</t>
  </si>
  <si>
    <t>Eka Yulya, S.E.</t>
  </si>
  <si>
    <t>Siti Nurhasanah, S.E.</t>
  </si>
  <si>
    <t>Dr. Halim Dedy Perdana, S.E., M.SM.</t>
  </si>
  <si>
    <t>Dr. Sitta Alief Farihati, S.Si., M.Si.</t>
  </si>
  <si>
    <t>Nuratika Novianti, S.Sos.</t>
  </si>
  <si>
    <t>Handayani Prasanti, S.Ak.</t>
  </si>
  <si>
    <t>Cacih Sugiarti, S.Sos.</t>
  </si>
  <si>
    <t>Ariyanti Hartari, S.Tp., M.Si.</t>
  </si>
  <si>
    <t>Elin Herlinawati, M.Si.</t>
  </si>
  <si>
    <t>Bayu Eka Wicaksana, M.P.</t>
  </si>
  <si>
    <t>Mutiara Ulfah, S.T.P., M.Sc.</t>
  </si>
  <si>
    <t>Prof. Dr. Dewi Juliah Ratnaningsih, S.Si., M.Si.</t>
  </si>
  <si>
    <t>Didik Nurdyansah, S.Kom.</t>
  </si>
  <si>
    <t>Dewi Suranti, S.I.Kom.</t>
  </si>
  <si>
    <t>Dr. Tuti Purwoningsih, S.Pd., M.Sc.</t>
  </si>
  <si>
    <t>Dewi Elfriwaty Br Simamora, S.S.T.Ars.</t>
  </si>
  <si>
    <t>Dr. Agustine Dwianika, S.E., M.Ak.</t>
  </si>
  <si>
    <t>Dasrika, S.E.</t>
  </si>
  <si>
    <t>Firmansyah, S.Kom., M.M.</t>
  </si>
  <si>
    <t>Hudi Herdianto, S.Kom., M.Si.</t>
  </si>
  <si>
    <t>Ayu Liestianingsih, S.Kom.</t>
  </si>
  <si>
    <t>Nanang Setiawan, S.Kom.</t>
  </si>
  <si>
    <t>Iswaya Maalik Syahrani, S.Kom., M.Kom.</t>
  </si>
  <si>
    <t>Dr. Sofjan Aripin, M.Si.</t>
  </si>
  <si>
    <t>Yana Andriana, S.T.</t>
  </si>
  <si>
    <t>Kani, S.Kom., M.Kom.</t>
  </si>
  <si>
    <t>Siti Samsiyah, S.S., M.Si.</t>
  </si>
  <si>
    <t>Tirmi Koara, S.Kom.</t>
  </si>
  <si>
    <t>Prof. Dr. Lidwina Sri Ardiasih, S.Pd., M.Ed.</t>
  </si>
  <si>
    <t>Al Hafid, S.Kom., MMSI.</t>
  </si>
  <si>
    <t>Candra Wibawa, S.Sn., M.Ds.</t>
  </si>
  <si>
    <t>Agus Saeful Mujab, S.E., M.M.</t>
  </si>
  <si>
    <t>Suhendro, S.Kom.</t>
  </si>
  <si>
    <t>Teguh Nursantoso, S.Kom., M.MSI.</t>
  </si>
  <si>
    <t>Dimas Agung Prasetyo, S.Kom., M.Sc.</t>
  </si>
  <si>
    <t>Nang Budiyanto, S.T.</t>
  </si>
  <si>
    <t>Wahyu Inayanto, S.Kom.</t>
  </si>
  <si>
    <t>Dr. Kartono, S.Pd., M.Si.</t>
  </si>
  <si>
    <t>Dr. Idha Farida, S.P., M.Si.</t>
  </si>
  <si>
    <t>Dr. Teguh Prakoso, S.Pd., M.Hum.</t>
  </si>
  <si>
    <t>Eko Prahandoyo, S.Sos.</t>
  </si>
  <si>
    <t>Joko Purwoko, S.T., M.M.</t>
  </si>
  <si>
    <t>Dr. Ami Pujiwati, S.E., M.Si.</t>
  </si>
  <si>
    <t>Taurisa Andriani, S.E.</t>
  </si>
  <si>
    <t>Arief Rahman Susila, S.E., M.Si.</t>
  </si>
  <si>
    <t>Milda Ayudia, S.S.</t>
  </si>
  <si>
    <t>Bagus Arif Wicaksono, S.Kom., M.Kom.</t>
  </si>
  <si>
    <t>Totok Suhartanto, S.E.</t>
  </si>
  <si>
    <t>Andi Suwandi, S.T.</t>
  </si>
  <si>
    <t>Aulia Dian Palupi, S.E.</t>
  </si>
  <si>
    <t>Fitriyah, S.E., M.Ak.</t>
  </si>
  <si>
    <t>Bambang Yulianto, S.T., M.Si.</t>
  </si>
  <si>
    <t>Husain Husin Mamonto, S.M.</t>
  </si>
  <si>
    <t>Dr. Abdurrahman Rahim Thaha, M.A.B.</t>
  </si>
  <si>
    <t>Irwandi, S.Kom., M.M.</t>
  </si>
  <si>
    <t>Ali Tarigan, S.E.</t>
  </si>
  <si>
    <t>Dora Sophianingtyas, S.E., MBA.</t>
  </si>
  <si>
    <t>Yudhi Prasetiyo, S.E., M.Ak.</t>
  </si>
  <si>
    <t>Isma Dwi Fiani, S.I.Kom., M.Si.</t>
  </si>
  <si>
    <t>Nuraini Aunidya Cakrawala, S.Sos.</t>
  </si>
  <si>
    <t>Tessa Melanie Wulandari, S.E., M.Ak.</t>
  </si>
  <si>
    <t>A. Rachmat Wirawan, S.H., M.H.</t>
  </si>
  <si>
    <t>Mirza Permana, S.T., M.Si.</t>
  </si>
  <si>
    <t>Prof. Dr. Etty Puji Lestari, S.E,.M.Si.</t>
  </si>
  <si>
    <t>Dr. Suhartono, S.Pd., M.Pd.</t>
  </si>
  <si>
    <t>Prof. Rahmat Budiman, S.S., M.Hum., Ph.D.</t>
  </si>
  <si>
    <t>Prof. Dr. Paken Pandiangan, S.Si., M.Si.</t>
  </si>
  <si>
    <t>Dr. Hendrian, S.E., M.Si.</t>
  </si>
  <si>
    <t>Fauzy Rahman Kosasih, S.S., M.Pd.</t>
  </si>
  <si>
    <t>Yonarisman Muhammad Akbar, S.Ikom., M.A.</t>
  </si>
  <si>
    <t>Alpin Herman Saputra, S.Pd., M.Pd.</t>
  </si>
  <si>
    <t>Dr. Della Raymena Jovanka, S.Pd., M.Si.</t>
  </si>
  <si>
    <t>Athiefah Fauziyyah, S.T.P., M.Si.</t>
  </si>
  <si>
    <t>Majidah, S.Sos., M.I.Kom.</t>
  </si>
  <si>
    <t>Hendrawan Bayu Wicaksono, S.E., M.Ak.</t>
  </si>
  <si>
    <t>Adisthy Shabrina Nurqamarani, B.A.(Hons)., M.Sc.</t>
  </si>
  <si>
    <t>Dr. Zakirman, S.Pd., M.Pd.</t>
  </si>
  <si>
    <t>Astri Dwi Jayanti Suhandoko, M.Ed., Ph.D.</t>
  </si>
  <si>
    <t>Fawzi Rahmadiyan Zuhairi, S.Si., M.Sc.</t>
  </si>
  <si>
    <t>Dr.  Vivi Indra Amelia Nst, S.I.P., M.A.</t>
  </si>
  <si>
    <t>Dr. Muhammad Rif'an, S.T., M.T.</t>
  </si>
  <si>
    <t>Iwan Susanto, S.Kom., M.T.I.</t>
  </si>
  <si>
    <t>Deni Rudiana Aprizal, S.Kom.</t>
  </si>
  <si>
    <t>Agung Wicaksono, S.Kom.</t>
  </si>
  <si>
    <t>Sri Tanto, S.Kom.</t>
  </si>
  <si>
    <t>Laras Anggita Destofia, S.Kom., M.M.S.I.</t>
  </si>
  <si>
    <t>Arief Mulyana, S.Kom., M.M.</t>
  </si>
  <si>
    <t>Muhammad Novan Billiranto, S.Kom.</t>
  </si>
  <si>
    <t xml:space="preserve">Erika Pradana Putri, S.T., M.Sc.                                        </t>
  </si>
  <si>
    <t>Dina Arianti, S.Pd.</t>
  </si>
  <si>
    <t>Hubertina Karolina Ngarbingan, S.Pd., M.Par.</t>
  </si>
  <si>
    <t>Sugiyono, S.E., M.Ak.</t>
  </si>
  <si>
    <t>Rivaldhy N Muhammad, S.H., M.H.</t>
  </si>
  <si>
    <t>Susilo Edi Prianto, S.E., M.M.</t>
  </si>
  <si>
    <t>Bangun Asmo Darmanto, S.Des., M.Ds.</t>
  </si>
  <si>
    <t>Mochammad Randy Oktaviano Varkevisser, A.Md.</t>
  </si>
  <si>
    <t>Yusriyah, S.E.</t>
  </si>
  <si>
    <t>Prasiwi Susy Nurwiyanti, S.H.</t>
  </si>
  <si>
    <t>Julianto Mardimpu Pasaribu, S.Kom.</t>
  </si>
  <si>
    <t>Mira Aryani, M.Kom.</t>
  </si>
  <si>
    <t>Muhammad Salahuddin, S.S.</t>
  </si>
  <si>
    <t>Agifah, S.P.</t>
  </si>
  <si>
    <t>Imam Muiz, S.Kom.</t>
  </si>
  <si>
    <t>M. Ali Nurdin, S.M.</t>
  </si>
  <si>
    <t>Mawardi, S.E.</t>
  </si>
  <si>
    <t>Teguh Muhammad Ilham, S.Kom.</t>
  </si>
  <si>
    <t>I Made Gunawan Sanjaya, S.T.</t>
  </si>
  <si>
    <t>Edy Fitriawan Syahadat, S.E., M.Si.</t>
  </si>
  <si>
    <t>Sharon Fleurette Pieter, S.Kom.</t>
  </si>
  <si>
    <t>Delisa Chitra Sari, S.Kom.</t>
  </si>
  <si>
    <t>Sitti Jamilah, S.Pd., M.Pd.</t>
  </si>
  <si>
    <t>Musliadi, S.T., M.M.</t>
  </si>
  <si>
    <t>Nasri Maulidin, S.E.</t>
  </si>
  <si>
    <t>Nisha Marina, S.E., M.Si.</t>
  </si>
  <si>
    <t>Husni Mubarak, S.P.</t>
  </si>
  <si>
    <t>Salman Saleh Hasibuan, S.E.</t>
  </si>
  <si>
    <t>Alfatri Anom, S.H., M.H.</t>
  </si>
  <si>
    <t>Amrin, S.E.</t>
  </si>
  <si>
    <t>Silfi Amelia, S.Akun.</t>
  </si>
  <si>
    <t>Adrianto, S.E., M.M.</t>
  </si>
  <si>
    <t>Dr. Malta, S.T., M.Si.</t>
  </si>
  <si>
    <t>Azvinal, S.S.T.Ars.</t>
  </si>
  <si>
    <t>Unggul Utan Sufandi, S.Kom., M.Si.</t>
  </si>
  <si>
    <t>Dessy Mayasari, S.IP., M.A.P.</t>
  </si>
  <si>
    <t>Ahmad Faisal, S.H.</t>
  </si>
  <si>
    <t>Agus Setiawan, S.T.</t>
  </si>
  <si>
    <t>Drs. Tedjo Djatmiko, M.Pd.</t>
  </si>
  <si>
    <t>Ronny Basista, S.Ag., M.Si.</t>
  </si>
  <si>
    <t>Ester Hayuning Padmi, S.Kom.</t>
  </si>
  <si>
    <t>Indria Rianti, S.E.</t>
  </si>
  <si>
    <t>Afriliani, S.Pd., M.Hum.</t>
  </si>
  <si>
    <t>Achmad Syifqi, S.Kom., M.Kom.</t>
  </si>
  <si>
    <t>Ceki Muttaqin, S.Hum.</t>
  </si>
  <si>
    <t>Triana Sri Gunarti, S.E., M.Si.</t>
  </si>
  <si>
    <t>Wisnu FH, S.Pd., M.M.</t>
  </si>
  <si>
    <t>Imam Dwinusa Harun, S.E.</t>
  </si>
  <si>
    <t>Dr. Welli Yuliatmoko, S.TP., M.Si.</t>
  </si>
  <si>
    <t>Firman Yusuf Abdurachman, S.T.</t>
  </si>
  <si>
    <t>Ahmad Adi Wijaya, S.Kom.</t>
  </si>
  <si>
    <t>Selly Anastassia Amellia Kharis, M.Si.</t>
  </si>
  <si>
    <t>Melisa Arisanty, S.I.Kom., M.Si.</t>
  </si>
  <si>
    <t>Fadilla, S.E.</t>
  </si>
  <si>
    <t>Dr. Ajat Sudrajat, M.Pd.</t>
  </si>
  <si>
    <t>Rakhmini Juwita, S.E., M.Si.</t>
  </si>
  <si>
    <t>Dyah Palupi Setiyoningrum, S.Kom.</t>
  </si>
  <si>
    <t>Arpan Dadi, S.E.</t>
  </si>
  <si>
    <t>Muhamad Komarudin, S.E.Sy., M.A.</t>
  </si>
  <si>
    <t>Esa Fauzan Agusetiana, S.Kom.</t>
  </si>
  <si>
    <t>Ono Sugiyono, S.E.</t>
  </si>
  <si>
    <t>Zulham Adamy, S.H., M.H.</t>
  </si>
  <si>
    <t>Merry Monica, S.TP.</t>
  </si>
  <si>
    <t>Eka Nur Rakhmayati, S.E., Ak., M.M.</t>
  </si>
  <si>
    <t>Drs. Suhartono, M.Si.</t>
  </si>
  <si>
    <t>Ismiantoro Aziis Shahrani, S.Kom.</t>
  </si>
  <si>
    <t>Adi Setyawan, S.E., M.M.</t>
  </si>
  <si>
    <t>Dr. Iqbal Miftakhul Mujtahid, S.IP., M.Si.</t>
  </si>
  <si>
    <t>Hendra Budiman, S.E.</t>
  </si>
  <si>
    <t>Dr. Siswandaru Kurniawan, S.E., Akt, M.Si.</t>
  </si>
  <si>
    <t>Baktiar Hertansyah Pohan, S.E.</t>
  </si>
  <si>
    <t>Dr. Agus Joko Purwanto, M.Si.</t>
  </si>
  <si>
    <t>Cicilia Clara Devi Anggraini, S.Pd., M.Pd.</t>
  </si>
  <si>
    <t>Danar Kristiana Dewi, S.I.Kom., M.I.Kom.</t>
  </si>
  <si>
    <t>Raden Sunarya, S.Pd.</t>
  </si>
  <si>
    <t>Suyatno, S.IP., M.Si.</t>
  </si>
  <si>
    <t>Menanda Fuad Supriyanta, S.Kom.</t>
  </si>
  <si>
    <t>Permatasari Eka Septiana, S.E., M.Si.</t>
  </si>
  <si>
    <t>Vina Tamaela Haushi, S.S.</t>
  </si>
  <si>
    <t>Diana Akhsa, A.Md.</t>
  </si>
  <si>
    <t>Yuli Triana, S.E., M.M.</t>
  </si>
  <si>
    <t>Jumriadi, S.Sos., M.A.P.</t>
  </si>
  <si>
    <t>Yudiansyah, S.H.</t>
  </si>
  <si>
    <t>Ernayanti Nur Widhi, S.T., M.A.</t>
  </si>
  <si>
    <t>Haris Masri, S.E.</t>
  </si>
  <si>
    <t>Heri Indrawan, S.Kom.</t>
  </si>
  <si>
    <t>Dr. Hana Norhamida, S.E., M.Si.</t>
  </si>
  <si>
    <t>Dwianto Asmara, S.Kom.</t>
  </si>
  <si>
    <t>Ispriwiati Fatma, S.T.</t>
  </si>
  <si>
    <t>Rini Yayuk Priyati, S.E., M.Ec., Ph.D.</t>
  </si>
  <si>
    <t>Jony Puspa Kusuma, S.E., M.Si.</t>
  </si>
  <si>
    <t>Andilopa Ginting, S.E., M.E.</t>
  </si>
  <si>
    <t>Indra Wahyuni, S.E.</t>
  </si>
  <si>
    <t>Dr. Hadiqotul Luluk, M.M., M.Pd.</t>
  </si>
  <si>
    <t>Nita Ryan Purbosari, S.Sos., M.Si.</t>
  </si>
  <si>
    <t>Efita Rusdiana, S.E.</t>
  </si>
  <si>
    <t>Gede Suwardika, S.Si., M.Si.</t>
  </si>
  <si>
    <t>Kadek Masakazu, S.M.B., M.M.</t>
  </si>
  <si>
    <t>Satrio Umbowo, S.Sos.</t>
  </si>
  <si>
    <t>Khaerul Anam, S.Pd., M.Pd.</t>
  </si>
  <si>
    <t>Muhammad Irwan Ardiansyah, M.Kom.</t>
  </si>
  <si>
    <t>Jumahari</t>
  </si>
  <si>
    <t>Dr. Albert Gamot Malau, S.Si., M.Si.</t>
  </si>
  <si>
    <t>Yudith Alexanderina Frans, S.Sos., M.A.</t>
  </si>
  <si>
    <t>Yusinta Natalia Fina, S.Sos., M.Si.</t>
  </si>
  <si>
    <t>Ansari Wahab, S.Sos.</t>
  </si>
  <si>
    <t>Fitriadi Nurdin, S.Kom., M.M.S.I.</t>
  </si>
  <si>
    <t>Dr.  Syahrinullah, S.E., M.M.</t>
  </si>
  <si>
    <t>Surahmansyah, S.IP., M.M.</t>
  </si>
  <si>
    <t>Usy Nora Manurung, S.Pi., M.Si.</t>
  </si>
  <si>
    <t>Steviani Batti', S.Kom., M.M.</t>
  </si>
  <si>
    <t>Yuyun Yunita Puspa, S.Sos., M.I.Kom.</t>
  </si>
  <si>
    <t>Mohbir Umasugi, S.Sos., M.A.P.</t>
  </si>
  <si>
    <t>Fitrah Yuliani Sabara, S.Kom.</t>
  </si>
  <si>
    <t>Jefri Aprianto, S.E.</t>
  </si>
  <si>
    <t>Raflen Aril Gerungan, S.Pd., M.Si.</t>
  </si>
  <si>
    <t>Lukman Marchel Recky, S.Kom.</t>
  </si>
  <si>
    <t>Tri Mariono, S.T.</t>
  </si>
  <si>
    <t>Nur Asiah, S.Sos., M.Si.</t>
  </si>
  <si>
    <t>Yasir M. Pidu, S.E., M.M.</t>
  </si>
  <si>
    <t>Burhan Mohamad, S.E.</t>
  </si>
  <si>
    <t>Rahman Hasim, S.IP., M.Si.</t>
  </si>
  <si>
    <t>Abraham Sarapil, S.Pd.</t>
  </si>
  <si>
    <t>Ahyar Hanubun, S.E., M.M.</t>
  </si>
  <si>
    <t>Milcha Handayani Tammubua, S.E., M.M.</t>
  </si>
  <si>
    <t>Restu Monika Nia Betaubun, S.Pt., M.Si.</t>
  </si>
  <si>
    <t>Sutrisno, S.A.P.</t>
  </si>
  <si>
    <t>Dr. Dra. Fachria Yamin Marasabessy, M.Pd.</t>
  </si>
  <si>
    <t>Azizah Mujahidah Annisa, S.Pd., M.Pd.</t>
  </si>
  <si>
    <t>Muhammad Fadly, S.E., M.Si.</t>
  </si>
  <si>
    <t>Timbul Rasoki, S.P., M.Si.</t>
  </si>
  <si>
    <t>Hasrul Izwan, S.IP.</t>
  </si>
  <si>
    <t>Desca Marwan Toni, S.Komp.</t>
  </si>
  <si>
    <t>Dr. Einstivina Nuryandani, S.Si., M.Si.</t>
  </si>
  <si>
    <t>Fahriansyah, S.E., M.M.</t>
  </si>
  <si>
    <t>Rasiman, S.Sos., M.A.P.</t>
  </si>
  <si>
    <t>Andi Suci Anita, S.P., M.P.</t>
  </si>
  <si>
    <t>Dr. Jalil, S.Pi., M.P.</t>
  </si>
  <si>
    <t>Nina Utami Yanuarvah Sanusi, S.Kom.</t>
  </si>
  <si>
    <t>Efraim Bavo Priyana, S.Tr.Par., M.Par.</t>
  </si>
  <si>
    <t>Achmad Sophian, S.Kom.</t>
  </si>
  <si>
    <t>Fajar Adiyanti, S.E.</t>
  </si>
  <si>
    <t xml:space="preserve">Drs. Moh. Muzammil, M.M.           </t>
  </si>
  <si>
    <t>NIP</t>
  </si>
  <si>
    <t>197305061999032002</t>
  </si>
  <si>
    <t>197804292005012001</t>
  </si>
  <si>
    <t>119670619202403101</t>
  </si>
  <si>
    <t>198804022012122002</t>
  </si>
  <si>
    <t>199011122020121008</t>
  </si>
  <si>
    <t>198003222005011003</t>
  </si>
  <si>
    <t>197307012003121001</t>
  </si>
  <si>
    <t>197208071998022001</t>
  </si>
  <si>
    <t>197701302001122001</t>
  </si>
  <si>
    <t>196606231991032002</t>
  </si>
  <si>
    <t>198208052005011004</t>
  </si>
  <si>
    <t>196905302000031001</t>
  </si>
  <si>
    <t>197607172001121004</t>
  </si>
  <si>
    <t>198504042023211019</t>
  </si>
  <si>
    <t>197804182006041002</t>
  </si>
  <si>
    <t>197102122001122001</t>
  </si>
  <si>
    <t>197901152005012002</t>
  </si>
  <si>
    <t>197112141999031001</t>
  </si>
  <si>
    <t>198708082020121003</t>
  </si>
  <si>
    <t>197505312001122001</t>
  </si>
  <si>
    <t>196903132005011001</t>
  </si>
  <si>
    <t>197912102005011001</t>
  </si>
  <si>
    <t>198212122009121002</t>
  </si>
  <si>
    <t>198605042010122004</t>
  </si>
  <si>
    <t>196912231990032001</t>
  </si>
  <si>
    <t>198306212006041003</t>
  </si>
  <si>
    <t>197812262002122002</t>
  </si>
  <si>
    <t>198611072010122005</t>
  </si>
  <si>
    <t>197109132002122001</t>
  </si>
  <si>
    <t>196809171992012001</t>
  </si>
  <si>
    <t>197812232005012002</t>
  </si>
  <si>
    <t>199002012018032001</t>
  </si>
  <si>
    <t>199004082022031006</t>
  </si>
  <si>
    <t>199107182024062001</t>
  </si>
  <si>
    <t>197407091999032001</t>
  </si>
  <si>
    <t>119850510202307101</t>
  </si>
  <si>
    <t>198310092010122005</t>
  </si>
  <si>
    <t>197812232002122001</t>
  </si>
  <si>
    <t>198811102010122005</t>
  </si>
  <si>
    <t>198408102024062001</t>
  </si>
  <si>
    <t>197906192005012002</t>
  </si>
  <si>
    <t>197703092003121002</t>
  </si>
  <si>
    <t>197708032005011001</t>
  </si>
  <si>
    <t>197110191999032001</t>
  </si>
  <si>
    <t>197603102001121001</t>
  </si>
  <si>
    <t>197809262003121003</t>
  </si>
  <si>
    <t>196606191992031002</t>
  </si>
  <si>
    <t>198008142001121003</t>
  </si>
  <si>
    <t>197806142003121002</t>
  </si>
  <si>
    <t>196807301998032001</t>
  </si>
  <si>
    <t>197804262005011001</t>
  </si>
  <si>
    <t>197504142005012003</t>
  </si>
  <si>
    <t>198304252009121003</t>
  </si>
  <si>
    <t>197806182006041002</t>
  </si>
  <si>
    <t>197208192006041001</t>
  </si>
  <si>
    <t>197403302005011002</t>
  </si>
  <si>
    <t>197904252003121004</t>
  </si>
  <si>
    <t>197905312003121002</t>
  </si>
  <si>
    <t>197702172000121001</t>
  </si>
  <si>
    <t>197912212009121002</t>
  </si>
  <si>
    <t>197805102005011002</t>
  </si>
  <si>
    <t>198110072005012002</t>
  </si>
  <si>
    <t>197403122000031001</t>
  </si>
  <si>
    <t>119910520202307101</t>
  </si>
  <si>
    <t>197804072000031002</t>
  </si>
  <si>
    <t>197103192005012001</t>
  </si>
  <si>
    <t>197104222005012001</t>
  </si>
  <si>
    <t>198202132005011002</t>
  </si>
  <si>
    <t>198006212005012001</t>
  </si>
  <si>
    <t>198712242010121005</t>
  </si>
  <si>
    <t>197910062003121001</t>
  </si>
  <si>
    <t>197302262005011001</t>
  </si>
  <si>
    <t>197906192005012001</t>
  </si>
  <si>
    <t>198206082009122006</t>
  </si>
  <si>
    <t>197407182003121001</t>
  </si>
  <si>
    <t>197506182003121002</t>
  </si>
  <si>
    <t>198612162022031003</t>
  </si>
  <si>
    <t>197802112005011001</t>
  </si>
  <si>
    <t>219801028202308101</t>
  </si>
  <si>
    <t>198310122009122002</t>
  </si>
  <si>
    <t>199403262022031015</t>
  </si>
  <si>
    <t>198908092019032021</t>
  </si>
  <si>
    <t>198008272010122001</t>
  </si>
  <si>
    <t>198205072005012001</t>
  </si>
  <si>
    <t>199010252019031014</t>
  </si>
  <si>
    <t>119870530202403101</t>
  </si>
  <si>
    <t>197404162002122001</t>
  </si>
  <si>
    <t>197007142002121001</t>
  </si>
  <si>
    <t>197101161999031001</t>
  </si>
  <si>
    <t>197008201997031003</t>
  </si>
  <si>
    <t>196901292000031003</t>
  </si>
  <si>
    <t>119870426202307101</t>
  </si>
  <si>
    <t>119900803202403101</t>
  </si>
  <si>
    <t>199307162019031012</t>
  </si>
  <si>
    <t>198005262005012002</t>
  </si>
  <si>
    <t>199107142019032028</t>
  </si>
  <si>
    <t>198902192015042005</t>
  </si>
  <si>
    <t>198706162009121002</t>
  </si>
  <si>
    <t>199112142020122010</t>
  </si>
  <si>
    <t>199108162024061002</t>
  </si>
  <si>
    <t>198512312020122006</t>
  </si>
  <si>
    <t>198910272019031012</t>
  </si>
  <si>
    <t>198501262010122005</t>
  </si>
  <si>
    <t>197410222001121001</t>
  </si>
  <si>
    <t>198004062009121003</t>
  </si>
  <si>
    <t>198904062014041002</t>
  </si>
  <si>
    <t>198301212006041003</t>
  </si>
  <si>
    <t>119860203202307101</t>
  </si>
  <si>
    <t>119910629202307201</t>
  </si>
  <si>
    <t>197510152002121004</t>
  </si>
  <si>
    <t>198511282010121005</t>
  </si>
  <si>
    <t>198512172019032012</t>
  </si>
  <si>
    <t>198101222005012003</t>
  </si>
  <si>
    <t>119921030202403201</t>
  </si>
  <si>
    <t>198007142005011003</t>
  </si>
  <si>
    <t>198903012019031013</t>
  </si>
  <si>
    <t>197305202001121001</t>
  </si>
  <si>
    <t>198602262010121007</t>
  </si>
  <si>
    <t>119901023202307101</t>
  </si>
  <si>
    <t>197201212005012002</t>
  </si>
  <si>
    <t>198112282005012001</t>
  </si>
  <si>
    <t>197207112003121002</t>
  </si>
  <si>
    <t>198604012009122007</t>
  </si>
  <si>
    <t>197206302005011001</t>
  </si>
  <si>
    <t>197012312001122001</t>
  </si>
  <si>
    <t>197906032009121001</t>
  </si>
  <si>
    <t>198203142005011001</t>
  </si>
  <si>
    <t>198204042005011001</t>
  </si>
  <si>
    <t>197908232005011001</t>
  </si>
  <si>
    <t>198705122010121006</t>
  </si>
  <si>
    <t>198805172020121006</t>
  </si>
  <si>
    <t>119841016202307201</t>
  </si>
  <si>
    <t>119870602202307201</t>
  </si>
  <si>
    <t>198602212019032011</t>
  </si>
  <si>
    <t>197707162008011016</t>
  </si>
  <si>
    <t>119901025202307101</t>
  </si>
  <si>
    <t>198112312008122002</t>
  </si>
  <si>
    <t>119831101202312101</t>
  </si>
  <si>
    <t>197710062005011004</t>
  </si>
  <si>
    <t>198508102019032016</t>
  </si>
  <si>
    <t>197412162008011007</t>
  </si>
  <si>
    <t>198206172005012001</t>
  </si>
  <si>
    <t>197501172006041001</t>
  </si>
  <si>
    <t>197508072008121001</t>
  </si>
  <si>
    <t>197306142005011002</t>
  </si>
  <si>
    <t>197109111999031002</t>
  </si>
  <si>
    <t>198412292008122004</t>
  </si>
  <si>
    <t>198306062005011001</t>
  </si>
  <si>
    <t>198308192008121002</t>
  </si>
  <si>
    <t>196611231991031003</t>
  </si>
  <si>
    <t>197701102008121002</t>
  </si>
  <si>
    <t>198004242006042002</t>
  </si>
  <si>
    <t>197901292005012007</t>
  </si>
  <si>
    <t>199204192020122016</t>
  </si>
  <si>
    <t>197712272005011002</t>
  </si>
  <si>
    <t>119901205202307101</t>
  </si>
  <si>
    <t>197405132008122001</t>
  </si>
  <si>
    <t>198206022010121005</t>
  </si>
  <si>
    <t>197012172005011001</t>
  </si>
  <si>
    <t>197307292001121001</t>
  </si>
  <si>
    <t>197503162006041001</t>
  </si>
  <si>
    <t>119930813202312101</t>
  </si>
  <si>
    <t>199401082020122016</t>
  </si>
  <si>
    <t>198905202019032024</t>
  </si>
  <si>
    <t>198505192010122003</t>
  </si>
  <si>
    <t>197708232008011012</t>
  </si>
  <si>
    <t>198205232008122007</t>
  </si>
  <si>
    <t>197607152005012001</t>
  </si>
  <si>
    <t>197705042005011001</t>
  </si>
  <si>
    <t>199011302020121009</t>
  </si>
  <si>
    <t>119890816202307101</t>
  </si>
  <si>
    <t>197410182005011002</t>
  </si>
  <si>
    <t>198607202019031010</t>
  </si>
  <si>
    <t>197611202005012001</t>
  </si>
  <si>
    <t>197501152003122001</t>
  </si>
  <si>
    <t>196307231998021001</t>
  </si>
  <si>
    <t>198001282005011001</t>
  </si>
  <si>
    <t>197902192006041001</t>
  </si>
  <si>
    <t>198206062008121001</t>
  </si>
  <si>
    <t>198102212005011002</t>
  </si>
  <si>
    <t>197606292008121001</t>
  </si>
  <si>
    <t>119910921202312101</t>
  </si>
  <si>
    <t>196605081992031003</t>
  </si>
  <si>
    <t>199205012019032027</t>
  </si>
  <si>
    <t>199102272019032020</t>
  </si>
  <si>
    <t>197306152005011001</t>
  </si>
  <si>
    <t>197403262008121003</t>
  </si>
  <si>
    <t>119860515202307101</t>
  </si>
  <si>
    <t>198509052010122005</t>
  </si>
  <si>
    <t>119850120202307201</t>
  </si>
  <si>
    <t>198108112005012003</t>
  </si>
  <si>
    <t>198303082006042001</t>
  </si>
  <si>
    <t>197704162006041002</t>
  </si>
  <si>
    <t>197606072005011003</t>
  </si>
  <si>
    <t>198408012019032006</t>
  </si>
  <si>
    <t>119921009202312101</t>
  </si>
  <si>
    <t>197711042005011003</t>
  </si>
  <si>
    <t>197508262000032001</t>
  </si>
  <si>
    <t>197711202003121002</t>
  </si>
  <si>
    <t>197604262003122001</t>
  </si>
  <si>
    <t>197610122001122002</t>
  </si>
  <si>
    <t>197212052002121002</t>
  </si>
  <si>
    <t>199204272019031009</t>
  </si>
  <si>
    <t>196807222003122001</t>
  </si>
  <si>
    <t>119791028202403201</t>
  </si>
  <si>
    <t>198807142010122005</t>
  </si>
  <si>
    <t>197301202003122001</t>
  </si>
  <si>
    <t>198102242008121001</t>
  </si>
  <si>
    <t>199001172019031008</t>
  </si>
  <si>
    <t>197106172001121001</t>
  </si>
  <si>
    <t>199212312019031021</t>
  </si>
  <si>
    <t>198511202010121005</t>
  </si>
  <si>
    <t>197112312003121001</t>
  </si>
  <si>
    <t>197004301997031002</t>
  </si>
  <si>
    <t>197907162002122001</t>
  </si>
  <si>
    <t>198312212008012002</t>
  </si>
  <si>
    <t>196812012002121002</t>
  </si>
  <si>
    <t>198606192010121004</t>
  </si>
  <si>
    <t>198303242009041002</t>
  </si>
  <si>
    <t>197705052010011028</t>
  </si>
  <si>
    <t>199105222020122002</t>
  </si>
  <si>
    <t>198809262019032022</t>
  </si>
  <si>
    <t>198307232008122004</t>
  </si>
  <si>
    <t>197502032006041003</t>
  </si>
  <si>
    <t>198107212005012004</t>
  </si>
  <si>
    <t>119930416202307101</t>
  </si>
  <si>
    <t>198708252019031011</t>
  </si>
  <si>
    <t>119860330202307101</t>
  </si>
  <si>
    <t>197502162006041003</t>
  </si>
  <si>
    <t>197808142002122002</t>
  </si>
  <si>
    <t>197606252008121003</t>
  </si>
  <si>
    <t>197603252005011001</t>
  </si>
  <si>
    <t>198908102019031004</t>
  </si>
  <si>
    <t>119870825202307101</t>
  </si>
  <si>
    <t>197904162006041001</t>
  </si>
  <si>
    <t>198003282008012013</t>
  </si>
  <si>
    <t>199007172020122006</t>
  </si>
  <si>
    <t>119950930202403101</t>
  </si>
  <si>
    <t>196812141994122003</t>
  </si>
  <si>
    <t>199203082019032015</t>
  </si>
  <si>
    <t>198703012010121003</t>
  </si>
  <si>
    <t>199006172019031008</t>
  </si>
  <si>
    <t>197005212005011002</t>
  </si>
  <si>
    <t>119880101202307101</t>
  </si>
  <si>
    <t>198303122008122004</t>
  </si>
  <si>
    <t>198212042006041002</t>
  </si>
  <si>
    <t>197711072005011001</t>
  </si>
  <si>
    <t>198012232008122003</t>
  </si>
  <si>
    <t>197208062006041002</t>
  </si>
  <si>
    <t>198201162003122001</t>
  </si>
  <si>
    <t>199305072019031009</t>
  </si>
  <si>
    <t>198102182009121001</t>
  </si>
  <si>
    <t>119920817202307201</t>
  </si>
  <si>
    <t>196109171987031002</t>
  </si>
  <si>
    <t>Penata Tingkat I, III/d</t>
  </si>
  <si>
    <t>Penata, III/c</t>
  </si>
  <si>
    <t>Penata Muda Tingkat I, III/b</t>
  </si>
  <si>
    <t>Pembina, IV/a</t>
  </si>
  <si>
    <t>Pembina Tingkat I, IV/b</t>
  </si>
  <si>
    <t>XIV</t>
  </si>
  <si>
    <t>Pembina Utama Muda, IV/c</t>
  </si>
  <si>
    <t>Penata Muda, III/a</t>
  </si>
  <si>
    <t>Pengatur, II/c</t>
  </si>
  <si>
    <t>Lektor</t>
  </si>
  <si>
    <t>Asisten Ahli</t>
  </si>
  <si>
    <t>Lektor Kepala</t>
  </si>
  <si>
    <t>Analis Pengelolaan Keuangan APBN Ahli Muda</t>
  </si>
  <si>
    <t>Arsiparis Ahli Madya</t>
  </si>
  <si>
    <t>Dosen Asisten Ahli</t>
  </si>
  <si>
    <t>Profesor</t>
  </si>
  <si>
    <t>Dosen Lektor</t>
  </si>
  <si>
    <t>Tenaga Pengajar</t>
  </si>
  <si>
    <t>Pranata Komputer Muda</t>
  </si>
  <si>
    <t>Analis Sumber Daya Manusia Aparatur Ahli Muda</t>
  </si>
  <si>
    <t>Analis Sumber Daya Manusia Aparatur Ahli Madya</t>
  </si>
  <si>
    <t xml:space="preserve">Lektor  </t>
  </si>
  <si>
    <t>Pranata Komputer Ahli Pertama</t>
  </si>
  <si>
    <t>Analis Kebijakan Ahli Madya</t>
  </si>
  <si>
    <t>Analis Pengelolaan Keuangan APBN Ahli Madya</t>
  </si>
  <si>
    <t>Arsiparis Ahli Muda</t>
  </si>
  <si>
    <t xml:space="preserve">Sekretaris Universitas pada Sekretariat Universitas  </t>
  </si>
  <si>
    <t xml:space="preserve">Manajer Keuangan, Sumber Daya, dan Umum pada Sekretariat Universitas  </t>
  </si>
  <si>
    <t xml:space="preserve">Manajer Perencanaan dan Kebijakan Strategis pada Sekretariat Universitas  </t>
  </si>
  <si>
    <t xml:space="preserve">Manajer Hukum dan Advokasi pada Sekretariat Universitas  </t>
  </si>
  <si>
    <t xml:space="preserve">Manajer Urusan Internasional pada Sekretariat Universitas  </t>
  </si>
  <si>
    <t xml:space="preserve">Manajer Tata Laksana dan Keprotokolan pada Sekretariat Universitas  </t>
  </si>
  <si>
    <t>Manajer Keuangan, Sumber Daya, dan Umum pada Kantor Pengawas Internal Universitas Terbuka</t>
  </si>
  <si>
    <t>Manajer Keuangan, Sumber Daya, dan Umum pada Kantor Penjaminan Mutu Universitas Terbuka</t>
  </si>
  <si>
    <t>Manajer Penjaminan Mutu dan Reputasi Internasional pada Kantor Penjaminan Mutu Universitas Terbuka</t>
  </si>
  <si>
    <t>Manajer Pengembangan dan Pengendalian Mutu pada Kantor Penjaminan Mutu Universitas Terbuka</t>
  </si>
  <si>
    <t>Manajer Manajemen Resiko dan Kepatuhan pada Kantor Penjaminan Mutu Universitas Terbuka</t>
  </si>
  <si>
    <t>Manajer Akademik pada Fakultas Keguruan dan Ilmu Pendidikan Universitas Terbuka</t>
  </si>
  <si>
    <t>Manajer Keuangan, Sumber Daya, dan Umum pada Fakultas Keguruan dan Ilmu Pendidikan Universitas Terbuka</t>
  </si>
  <si>
    <t>Manajer Kemahasiswaan, Layanan Pembelajaran, dan Kerja Sama pada Fakultas Keguruan dan Ilmu Pendidikan Universitas Terbuka</t>
  </si>
  <si>
    <t>Koordinator Mata Kuliah Institusi merangkap Kepala Laboratorium/Bengkel/Studio pada Fakultas Keguruan dan Ilmu Pendidikan Universitas Terbuka</t>
  </si>
  <si>
    <t>Manajer Akademik pada Fakultas Hukum, Ilmu Sosial, dan Ilmu Politik Universitas Terbuka</t>
  </si>
  <si>
    <t>Manajer Keuangan, Sumber Daya, dan Umum pada Fakultas Hukum, Ilmu Sosial, dan Ilmu Politik Universitas Terbuka</t>
  </si>
  <si>
    <t>Manajer Kemahasiswaan, Layanan Pembelajaran, dan Kerja Sama pada Fakultas Hukum, Ilmu Sosial, dan Ilmu Politik Universitas Terbuka</t>
  </si>
  <si>
    <t>Manajer pada Unit Laboratorium Terpadu merangkap Kepala Laboratorium/Bengkel/Studio pada Fakultas Hukum, Ilmu Sosial, dan Ilmu Politik Universitas Terbuka</t>
  </si>
  <si>
    <t>Ketua Program Studi S1 Ilmu Perpustakaan pada Fakultas Hukum, Ilmu Sosial, dan Ilmu Politik Universitas Terbuka</t>
  </si>
  <si>
    <t>Dekan Fakultas Ekonomi dan Bisnis Universitas Terbuka</t>
  </si>
  <si>
    <t>Wakil Dekan Bidang Akademik pada Fakultas Ekonomi dan Bisnis Universitas Terbuka</t>
  </si>
  <si>
    <t>Ketua Program S1 Manajemen pada Fakultas Ekonomi dan Bisnis Universitas Terbuka</t>
  </si>
  <si>
    <t>Manajer Akademik pada Fakultas Ekonomi dan Bisnis Universitas Terbuka</t>
  </si>
  <si>
    <t>Manajer Keuangan, Sumber Daya, dan Umum pada Fakultas Ekonomi dan Bisnis Universitas Terbuka</t>
  </si>
  <si>
    <t>Manajer Kemahasiswaan, Layanan Pembelajaran, dan Kerja Sama pada Fakultas Ekonomi dan Bisnis Universitas Terbuka</t>
  </si>
  <si>
    <t>Kepala Laboratorium/Bengkel/Studio pada Fakultas Ekonomi dan Bisnis Universitas Terbuka</t>
  </si>
  <si>
    <t>Wakil Dekan Bidang Akademik pada Fakultas Sains dan Teknologi Universitas Terbuka</t>
  </si>
  <si>
    <t>Manajer Akademik pada Fakultas Sains dan Teknologi Universitas Terbuka</t>
  </si>
  <si>
    <t>Manajer Keuangan, Sumber Daya, dan Umum pada Fakultas Sains dan Teknologi Universitas Terbuka</t>
  </si>
  <si>
    <t>Manajer Kemahasiswaan, Layanan Pembelajaran, dan Kerja Sama pada Fakultas Sains dan Teknologi Universitas Terbuka</t>
  </si>
  <si>
    <t>Kepala Laboratorium/Bengkel/Studio pada Fakultas Sains dan Teknologi Universitas Terbuka</t>
  </si>
  <si>
    <t>Ketua Program Studi S1 Matematika pada Fakultas Sains dan Teknologi Universitas Terbuka</t>
  </si>
  <si>
    <t>Ketua Program Studi S1 Agribisnis pada Fakultas Sains dan Teknologi Universitas Terbuka</t>
  </si>
  <si>
    <t>Ketua Program Studi S1 Teknologi Pangan pada Fakultas Sains dan Teknologi Universitas Terbuka</t>
  </si>
  <si>
    <t>Wakil Direktur I Bidang Akademik pada Sekolah Pascasarjana Universitas Terbuka</t>
  </si>
  <si>
    <t>Manajer Akademik pada Sekolah Pascasarjana Universitas Terbuka</t>
  </si>
  <si>
    <t>Manajer Keuangan, Sumber Daya, dan Umum pada Sekolah Pascasarjana Universitas Terbuka</t>
  </si>
  <si>
    <t>Wakil Direktur I Bidang Akademik pada Sekolah Vokasi Universitas Terbuka</t>
  </si>
  <si>
    <t>Manajer Pembelajaran, Kemahasiswaan, dan Sertifikasi pada Sekolah Vokasi Universitas Terbuka</t>
  </si>
  <si>
    <t>Manajer Kemitraan dan Alumni pada Sekolah Vokasi Universitas Terbuka</t>
  </si>
  <si>
    <t>Manajer Keuangan, Sumber Daya, dan Umum pada Sekolah Vokasi Universitas Terbuka</t>
  </si>
  <si>
    <t>Direktur pada Direktorat Administrasi Akademik dan Kemahasiswaan Universitas Terbuka</t>
  </si>
  <si>
    <t>Manajer Keuangan, Sumber Daya, dan Umum pada Direktorat Administrasi Akademik dan Kemahasiswaan Universitas Terbuka</t>
  </si>
  <si>
    <t>Kepala Subdirektorat Registrasi dan Data Mahasiswa pada Direktorat Administrasi Akademik dan Kemahasiswaan Universitas Terbuka</t>
  </si>
  <si>
    <t>Kepala Subdirektorat Rekognisi Pembelajaran Lampau dan Kelulusan pada Direktorat Administrasi Akademik dan Kemahasiswaan Universitas Terbuka</t>
  </si>
  <si>
    <t>Kepala Subdirektorat Kemahasiswaan dan Pelaporan pada Direktorat Administrasi Akademik dan Kemahasiswaan Universitas Terbuka</t>
  </si>
  <si>
    <t>Kepala Pusat Perpustakaan dan Kearsipan Universitas Terbuka</t>
  </si>
  <si>
    <t>Manajer Keuangan, Sumber Daya, dan Umum pada Pusat Perpustakaan dan Kearsipan Universitas Terbuka</t>
  </si>
  <si>
    <t>Manajer Kepustakaan pada Pusat Perpustakaan dan Kearsipan Universitas Terbuka</t>
  </si>
  <si>
    <t>Manajer Kearsipan pada Pusat Perpustakaan dan Kearsipan Universitas Terbuka</t>
  </si>
  <si>
    <t>Manajer Keuangan, Sumber Daya, dan Umum pada Lembaga Pendukung Pembelajaran Jarak Jauh Universitas Terbuka</t>
  </si>
  <si>
    <t>Kepala Pusat Produksi Bahan Ajar Multimedia pada Lembaga Pendukung Pembelajaran Jarak Jauh Universitas Terbuka</t>
  </si>
  <si>
    <t>Manajer Penerbitan Bahan Ajar pada Pusat Produksi Bahan Ajar Multimedia Lembaga Pendukung Pembelajaran Jarak Jauh Universitas Terbuka</t>
  </si>
  <si>
    <t>Manajer Desain Grafis dan Siaran pada Pusat Produksi Bahan Ajar Multimedia Lembaga Pendukung Pembelajaran Jarak Jauh Universitas Terbuka</t>
  </si>
  <si>
    <t>Kepala Pusat Distribusi Bahan Ajar pada Lembaga Pendukung Pembelajaran Jarak Jauh Universitas Terbuka</t>
  </si>
  <si>
    <t>Manajer Pergudangan dan Pengiriman pada Pusat Distribusi Bahan Ajar Lembaga Pendukung Pembelajaran Jarak Jauh Universitas Terbuka</t>
  </si>
  <si>
    <t>Manajer Database Bahan Ajar pada Pusat Distribusi Bahan Ajar Lembaga Pendukung Pembelajaran Jarak Jauh Universitas Terbuka</t>
  </si>
  <si>
    <t>Kepala Pusat Pengelolaan Pembelajaran pada Lembaga Pendukung Pembelajaran Jarak Jauh Universitas Terbuka</t>
  </si>
  <si>
    <t>Manajer Sumber Daya dan Layanan Pembelajaran pada Pusat Pengelolaan Pembelajaran Lembaga Pendukung Pembelajaran Jarak Jauh Universitas Terbuka</t>
  </si>
  <si>
    <t>Manajer Sistem dan Data Layanan Pembelajaran pada Pusat Pengelolaan Pembelajaran Lembaga Pendukung Pembelajaran Jarak Jauh Universitas Terbuka</t>
  </si>
  <si>
    <t>Kepala Pusat Pengelolaan Ujian pada Lembaga Pendukung Pembelajaran Jarak Jauh Universitas Terbuka</t>
  </si>
  <si>
    <t>Manajer Sistem dan Bahan Ujian pada Pusat Pengelolaan Ujian Lembaga Pendukung Pembelajaran Jarak Jauh Universitas Terbuka</t>
  </si>
  <si>
    <t>Manajer Penyelenggaraan Ujian pada Pusat Pengelolaan Ujian Lembaga Pendukung Pembelajaran Jarak Jauh Universitas Terbuka</t>
  </si>
  <si>
    <t>Direktur Sumber Daya Manusia Universitas Terbuka</t>
  </si>
  <si>
    <t>Manajer Keuangan, Sumber Daya, dan Umum pada Direktorat Sumber Daya Manusia Universitas Terbuka</t>
  </si>
  <si>
    <t>Kepala Subdirektorat Perencanaan dan Talenta Sumber Daya Manusia pada Direktorat Sumber Daya Manusia Universitas Terbuka</t>
  </si>
  <si>
    <t>Kepala Subdirektorat Pelatihan dan Pengembangan Sumber Daya Manusia pada Direktorat Sumber Daya Manusia Universitas Terbuka</t>
  </si>
  <si>
    <t>Kepala Subdirektorat Kesejahteraan dan Hubungan Sumber Daya Manusia pada Direktorat Sumber Daya Manusia Universitas Terbuka</t>
  </si>
  <si>
    <t>Direktur pada Direktorat Manajemen Aset, Umum, dan Pengadaan Barang/Jasa Universitas Terbuka</t>
  </si>
  <si>
    <t>Manajer Keuangan, Sumber Daya, dan Umum pada Direktorat Manajemen Aset, Umum, dan Pengadaan Barang/Jasa Universitas Terbuka</t>
  </si>
  <si>
    <t>Kepala Subdirektorat Pengadaan Barang dan Jasa pada Direktorat Manajemen Aset, Umum, dan Pengadaan Barang/Jasa Universitas Terbuka</t>
  </si>
  <si>
    <t>Kepala Subdirektorat Manajemen Aset pada Direktorat Manajemen Aset, Umum, dan Pengadaan Barang/Jasa Universitas Terbuka</t>
  </si>
  <si>
    <t>Kepala Subdirektorat Rumah Tangga dan Pemeliharaan pada Direktorat Manajemen Aset, Umum, dan Pengadaan Barang/Jasa Universitas Terbuka</t>
  </si>
  <si>
    <t>Manajer Keuangan, Sumber Daya, dan Umum pada Pusat Pengelolaan Keuangan Universitas Terbuka</t>
  </si>
  <si>
    <t>Manajer Keuangan, Sumber Daya, dan Umum pada Pusat Perencanaan dan Pelaporan Universitas Terbuka</t>
  </si>
  <si>
    <t>Kepala Pusat Bisnis dan Investasi Universitas Terbuka</t>
  </si>
  <si>
    <t>Manajer Keuangan, Sumber Daya, dan Umum pada Pusat Bisnis dan Investasi Universitas Terbuka</t>
  </si>
  <si>
    <t>Manajer Perencanaan dan Pengembangan Bisnis dan Investasi pada Pusat Bisnis dan Investasi Universitas Terbuka</t>
  </si>
  <si>
    <t>Manajer Pengawasan dan Evaluasi Kinerja Bisnis dan Investasi pada Pusat Bisnis dan Investasi Universitas Terbuka</t>
  </si>
  <si>
    <t>Manajer Pengelolaan Dana Abadi dan Investasi pada Pusat Bisnis dan Investasi Universitas Terbuka</t>
  </si>
  <si>
    <t>Kepala Pusat Komunikasi Publik dan Kerja Sama Universitas Terbuka</t>
  </si>
  <si>
    <t>Manajer Keuangan, Sumber Daya, dan Umum pada Pusat Komunikasi Publik dan Kerja Sama Universitas Terbuka</t>
  </si>
  <si>
    <t>Manajer Kerja Sama dan Perluasan Daya Jangkau pada Pusat Komunikasi Publik dan Kerja Sama Universitas Terbuka</t>
  </si>
  <si>
    <t>Manajer Hubungan Masyarakat dan Layanan Terpadu pada Pusat Komunikasi Publik dan Kerja Sama Universitas Terbuka</t>
  </si>
  <si>
    <t>Manajer Sumber Daya, dan Umum pada Lembaga Penelitian dan Pengabdian Kepada Masyarakat Universitas Terbuka</t>
  </si>
  <si>
    <t>Manajer Keuangan pada Lembaga Penelitian dan Pengabdian Kepada Masyarakat Universitas Terbuka</t>
  </si>
  <si>
    <t>Manajer Jurnal, Hak Kekayaan Intelektual, dan Publikasi pada Pusat Penelitian Keilmuan Lembaga Penelitian dan Pengabdian kepada Masyarakat Universitas Terbuka</t>
  </si>
  <si>
    <t>Manajer Pemberdayaan Masyarakat dan Program Sertifikat pada Pusat Pengabdian Kepada Masyarakat Lembaga Penelitian dan Pengabdian kepada Masyarakat Universitas Terbuka</t>
  </si>
  <si>
    <t>Kepala Pusat Riset dan Inovasi Pendidikan Jarak Jauh Lembaga Penelitian dan Pengabdian kepada Masyarakat Universitas Terbuka</t>
  </si>
  <si>
    <t>Manajer Riset Kurikulum dan Pembelajaran pada Pusat Riset dan Inovasi Pendidikan Jarak Jauh Lembaga Penelitian dan Pengabdian kepada Masyarakat Universitas Terbuka</t>
  </si>
  <si>
    <t>Wakil Rektor Bidang Akademik dan Kemahasiswaan Universitas Terbuka</t>
  </si>
  <si>
    <t>Wakil Rektor Bidang Sistem Informasi, Layanan Jarak Jauh dan Alumni Universitas Terbuka</t>
  </si>
  <si>
    <t>Wakil Rektor Bidang Riset, Kerja Sama dan Bisnis Universitas Terbuka</t>
  </si>
  <si>
    <t>Staf Ahli Bidang Kebijakan pada Kantor Rektor Universitas Terbuka</t>
  </si>
  <si>
    <t>Staf Ahli Bidang Hubungan Kelembagaan dan Institusi pada Kantor Rektor Universitas Terbuka</t>
  </si>
  <si>
    <t>Staf Ahli Bidang Pengelolaan Pendukung Pembelajaran Jarak Jauh pada Kantor Wakil Rektor Bidang Akademik dan Kemahasiswaan Universitas Terbuka</t>
  </si>
  <si>
    <t>Staf Ahli Bidang Penjaminan Mutu dan Akreditasi pada Kantor Wakil Rektor Bidang Akademik dan Kemahasiswaan Universitas Terbuka</t>
  </si>
  <si>
    <t>Staf Ahli Bidang Pendidikan dan Pengajaran pada Kantor Wakil Rektor Bidang Akademik dan Kemahasiswaan Universitas Terbuka</t>
  </si>
  <si>
    <t>Staf Ahli Bidang Kemahasiswaan pada Kantor Wakil Rektor Bidang Akademik dan Kemahasiswaan Universitas Terbuka</t>
  </si>
  <si>
    <t>Staf Ahli Bidang Keuangan dan Akuntansi pada Kantor Wakil Rektor Bidang Keuangan, Sumber Daya, dan Umum Universitas Terbuka</t>
  </si>
  <si>
    <t>Staf Ahli Bidang Perencanaan, Pengawasan, dan Evaluasi pada Kantor Wakil Rektor Bidang Keuangan, Sumber Daya, dan Umum Universitas Terbuka</t>
  </si>
  <si>
    <t>Staf Ahli Bidang Sistem Informasi pada Kantor Wakil Rektor Bidang Sistem Informasi, Layanan Jarak Jauh dan Alumni Universitas Terbuka</t>
  </si>
  <si>
    <t>Staf Ahli Bidang Inovasi Bisnis dan Investasi pada Kantor Wakil Rektor Bidang Riset, Kerja Sama dan Bisnis Universitas Terbuka</t>
  </si>
  <si>
    <t>Staf Ahli Bidang Riset dan Rekognisi Publik pada Kantor Wakil Rektor Bidang Riset, Kerja Sama dan Bisnis Universitas Terbuka</t>
  </si>
  <si>
    <t>Staf Ahli Bidang Kerja Sama, Perluasan Daya Jangkau dan Kehumasan pada Kantor Wakil Rektor Bidang Riset, Kerja Sama dan Bisnis Universitas Terbuka</t>
  </si>
  <si>
    <t>Direktur Teknologi Digital Universitas Terbuka</t>
  </si>
  <si>
    <t>Kepala Subdirektorat Strategi, Tata Kelola, dan Arsitektur Teknologi Informasi dan Komunikasi pada Direktorat Teknologi Digital Universitas Terbuka</t>
  </si>
  <si>
    <t>Kepala Subdirektorat Inovasi, Produk, dan Layanan Digital pada Direktorat Teknologi Digital Universitas Terbuka</t>
  </si>
  <si>
    <t>Kepala Subdirektorat Infrastruktur, Platform, dan Dukungan Layanan pada Direktorat Teknologi Digital Universitas Terbuka</t>
  </si>
  <si>
    <t>Manajer Keuangan, Sumber Daya, dan Umum pada Direktorat Teknologi Digital Universitas Terbuka</t>
  </si>
  <si>
    <t>Kepala Seksi Strategi dan Regulasi Digital pada Direktorat Teknologi Digital Universitas Terbuka</t>
  </si>
  <si>
    <t>Kepala Seksi Inovasi Teknologi dan Informasi pada Direktorat Teknologi Digital Universitas Terbuka</t>
  </si>
  <si>
    <t>Kepala Seksi Operasi Layanan dan Infrastruktur pada Direktorat Teknologi Digital Universitas Terbuka</t>
  </si>
  <si>
    <t>Manajer pada Unit Pemberdayaan Alumni, Sentra Karier, dan Penempatan Kerja Universitas Terbuka</t>
  </si>
  <si>
    <t>Manajer Pembelajaran, Kemahasiswaan, dan Alumni pada Universitas Terbuka Layanan Luar Negeri</t>
  </si>
  <si>
    <t>Manajer Perluasan Daya Jangkau, Registrasi, dan Ujian pada Universitas Terbuka Layanan Luar Negeri</t>
  </si>
  <si>
    <t xml:space="preserve">Manajer Keuangan, Sumber Daya, dan Umum pada Universitas Terbuka Layanan Luar Negeri </t>
  </si>
  <si>
    <t xml:space="preserve">Asisten Manajer Koordinasi Satuan pada Sekretariat Universitas </t>
  </si>
  <si>
    <t>Asisten Manajer Keuangan, Sumber Daya, dan Umum pada Unit Laboratorium Terpadu Universitas Terbuka</t>
  </si>
  <si>
    <t>Asisten Manajer Produksi Bahan Ajar pada Pusat Produksi Bahan Ajar Multimedia Lembaga Pendukung Pembelajaran Jarak Jauh Universitas Terbuka</t>
  </si>
  <si>
    <t>Asisten Manajer Siaran pada Pusat Produksi Bahan Ajar Multimedia Lembaga Pendukung Pembelajaran Jarak Jauh Universitas Terbuka</t>
  </si>
  <si>
    <t>Asisten Manajer Keuangan pada Pusat Produksi Bahan Ajar Multimedia Lembaga Pendukung Pembelajaran Jarak Jauh Universitas Terbuka</t>
  </si>
  <si>
    <t>Asisten Manajer Keuangan pada Pusat Distribusi Bahan Ajar Lembaga Pendukung Pembelajaran Jarak Jauh Universitas Terbuka</t>
  </si>
  <si>
    <t>Asisten Manajer Layanan Pembelajaran pada Pusat Pengelolaan Pembelajaran Lembaga Pendukung Pembelajaran Jarak Jauh Universitas Terbuka</t>
  </si>
  <si>
    <t>Asisten Manajer Data Layanan Pembelajaran pada Pusat Pengelolaan Pembelajaran Lembaga Pendukung Pembelajaran Jarak Jauh Universitas Terbuka</t>
  </si>
  <si>
    <t>Asisten Manajer Keuangan pada Pusat Pengelolaan Pembelajaran Lembaga Pendukung Pembelajaran Jarak Jauh Universitas Terbuka</t>
  </si>
  <si>
    <t>Asisten Manajer Pengelolaan Bahan Ujian pada Pusat Pengelolaan Ujian Lembaga Pendukung Pembelajaran Jarak Jauh Universitas Terbuka</t>
  </si>
  <si>
    <t>Asisten Manajer Pengolahan Hasil Ujian pada Pusat Pengelolaan Ujian Lembaga Pendukung Pembelajaran Jarak Jauh Universitas Terbuka</t>
  </si>
  <si>
    <t>Asisten Manajer Keuangan pada Pusat Pengelolaan Ujian Lembaga Pendukung Pembelajaran Jarak Jauh Universitas Terbuka</t>
  </si>
  <si>
    <t>Asisten Manajer Keuangan, Sumber Daya, dan pada Unit Pemberdayaan Alumni, Sentra Karier, dan Penempatan Kerja Universitas Terbuka</t>
  </si>
  <si>
    <t>Asisten Manajer Pengelolaan Alumni pada Unit Pemberdayaan Alumni, Sentra Karier, dan Penempatan Kerja Universitas Terbuka</t>
  </si>
  <si>
    <t>Asisten Manajer Sentra Karier dan Penempatan Kerja pada Unit Pemberdayaan Alumni, Sentra Karier, dan Penempatan Kerja Universitas Terbuka</t>
  </si>
  <si>
    <t>Manajer Pembelajaran, Kemahasiswaan, dan Alumni pada Universitas Terbuka Sorong</t>
  </si>
  <si>
    <t>Manajer Perluasan Daya Jangkau, Registrasi, dan Ujian pada Universitas Terbuka Sorong</t>
  </si>
  <si>
    <t>Manajer Keuangan, Sumber Daya, dan Umum pada Universitas Terbuka Sorong</t>
  </si>
  <si>
    <t>Manajer Pembelajaran, Kemahasiswaan, dan Alumni pada Universitas Terbuka Banda Aceh</t>
  </si>
  <si>
    <t>Manajer Perluasan Daya Jangkau, Registrasi, dan Ujian pada Universitas Terbuka Banda Aceh</t>
  </si>
  <si>
    <t>Manajer Keuangan, Sumber Daya, dan Umum pada Universitas Terbuka Banda Aceh</t>
  </si>
  <si>
    <t>Manajer Pembelajaran, Kemahasiswaan, dan Alumni pada Universitas Terbuka Medan</t>
  </si>
  <si>
    <t>Manajer Perluasan Daya Jangkau, Registrasi, dan Ujian pada Universitas Terbuka Medan</t>
  </si>
  <si>
    <t>Manajer Keuangan, Sumber Daya, dan Umum pada Universitas Terbuka Medan</t>
  </si>
  <si>
    <t>Manajer Pembelajaran, Kemahasiswaan, dan Alumni pada Universitas Terbuka Batam</t>
  </si>
  <si>
    <t>Manajer Perluasan Daya Jangkau, Registrasi, dan Ujian pada Universitas Terbuka Batam</t>
  </si>
  <si>
    <t>Manajer Keuangan, Sumber Daya, dan Umum pada Universitas Terbuka Batam</t>
  </si>
  <si>
    <t>Manajer Pembelajaran, Kemahasiswaan, dan Alumni pada Universitas Terbuka Padang</t>
  </si>
  <si>
    <t>Manajer Perluasan Daya Jangkau, Registrasi, dan Ujian pada Universitas Terbuka Padang</t>
  </si>
  <si>
    <t>Manajer Keuangan, Sumber Daya, dan Umum pada Universitas Terbuka Padang</t>
  </si>
  <si>
    <t>Direktur Universitas Terbuka Pangkalpinang</t>
  </si>
  <si>
    <t>Manajer Pembelajaran, Kemahasiswaan, dan Alumni pada Universitas Terbuka Pangkalpinang</t>
  </si>
  <si>
    <t>Manajer Perluasan Daya Jangkau, Registrasi, dan Ujian pada Universitas Terbuka Pangkalpinang</t>
  </si>
  <si>
    <t>Manajer Keuangan, Sumber Daya, dan Umum pada Universitas Terbuka Pangkalpinang</t>
  </si>
  <si>
    <t>Direktur Universitas Terbuka Pekanbaru</t>
  </si>
  <si>
    <t>Manajer Pembelajaran, Kemahasiswaan, dan Alumni pada Universitas Terbuka Pekanbaru</t>
  </si>
  <si>
    <t>Manajer Perluasan Daya Jangkau, Registrasi, dan Ujian pada Universitas Terbuka Pekanbaru</t>
  </si>
  <si>
    <t>Manajer Keuangan, Sumber Daya, dan Umum pada Universitas Terbuka Pekanbaru</t>
  </si>
  <si>
    <t>Manajer Pembelajaran, Kemahasiswaan, dan Alumni pada Universitas Terbuka Jambi</t>
  </si>
  <si>
    <t>Manajer Perluasan Daya Jangkau, Registrasi, dan Ujian pada Universitas Terbuka Jambi</t>
  </si>
  <si>
    <t>Manajer Keuangan, Sumber Daya, dan Umum pada Universitas Terbuka Jambi</t>
  </si>
  <si>
    <t>Manajer Pembelajaran, Kemahasiswaan, dan Alumni pada Universitas Terbuka Palembang</t>
  </si>
  <si>
    <t>Manajer Perluasan Daya Jangkau, Registrasi, dan Ujian pada Universitas Terbuka Palembang</t>
  </si>
  <si>
    <t>Manajer Keuangan, Sumber Daya, dan Umum pada Universitas Terbuka Palembang</t>
  </si>
  <si>
    <t>Manajer Pembelajaran, Kemahasiswaan, dan Alumni pada Universitas Terbuka Bandar Lampung</t>
  </si>
  <si>
    <t>Manajer Perluasan Daya Jangkau, Registrasi, dan Ujian pada Universitas Terbuka Bandar Lampung</t>
  </si>
  <si>
    <t>Manajer Keuangan, Sumber Daya, dan Umum pada Universitas Terbuka Bandar Lampung</t>
  </si>
  <si>
    <t>Manajer Pembelajaran, Kemahasiswaan, dan Alumni pada Universitas Terbuka Jakarta</t>
  </si>
  <si>
    <t>Manajer Perluasan Daya Jangkau, Registrasi, dan Ujian pada Universitas Terbuka Jakarta</t>
  </si>
  <si>
    <t>Manajer Keuangan, Sumber Daya, dan Umum pada Universitas Terbuka Jakarta</t>
  </si>
  <si>
    <t>Direktur Universitas Terbuka Serang</t>
  </si>
  <si>
    <t>Manajer Pembelajaran, Kemahasiswaan, dan Alumni pada Universitas Terbuka Serang</t>
  </si>
  <si>
    <t>Manajer Perluasan Daya Jangkau, Registrasi, dan Ujian pada Universitas Terbuka Serang</t>
  </si>
  <si>
    <t>Manajer Keuangan, Sumber Daya, dan Umum pada Universitas Terbuka Serang</t>
  </si>
  <si>
    <t>Manajer Pembelajaran, Kemahasiswaan, dan Alumni pada Universitas Terbuka Bogor</t>
  </si>
  <si>
    <t>Manajer Perluasan Daya Jangkau, Registrasi, dan Ujian pada Universitas Terbuka Bogor</t>
  </si>
  <si>
    <t>Manajer Keuangan, Sumber Daya, dan Umum pada Universitas Terbuka Bogor</t>
  </si>
  <si>
    <t>Manajer Pembelajaran, Kemahasiswaan, dan Alumni pada Universitas Terbuka Bandung</t>
  </si>
  <si>
    <t>Manajer Perluasan Daya Jangkau, Registrasi, dan Ujian pada Universitas Terbuka Bandung</t>
  </si>
  <si>
    <t>Manajer Keuangan, Sumber Daya, dan Umum pada Universitas Terbuka Bandung</t>
  </si>
  <si>
    <t>Manajer Pembelajaran, Kemahasiswaan, dan Alumni pada Universitas Terbuka Purwokerto</t>
  </si>
  <si>
    <t>Manajer Perluasan Daya Jangkau, Registrasi, dan Ujian pada Universitas Terbuka Purwokerto</t>
  </si>
  <si>
    <t>Manajer Keuangan, Sumber Daya, dan Umum pada Universitas Terbuka Purwokerto</t>
  </si>
  <si>
    <t>Direktur Universitas Terbuka Semarang</t>
  </si>
  <si>
    <t>Manajer Pembelajaran, Kemahasiswaan, dan Alumni pada Universitas Terbuka Semarang</t>
  </si>
  <si>
    <t>Manajer Perluasan Daya Jangkau, Registrasi, dan Ujian pada Universitas Terbuka Semarang</t>
  </si>
  <si>
    <t>Manajer Keuangan, Sumber Daya, dan Umum pada Universitas Terbuka Semarang</t>
  </si>
  <si>
    <t>Direktur Universitas Terbuka Surakarta</t>
  </si>
  <si>
    <t>Manajer Pembelajaran, Kemahasiswaan, dan Alumni pada Universitas Terbuka Surakarta</t>
  </si>
  <si>
    <t>Manajer Perluasan Daya Jangkau, Registrasi, dan Ujian pada Universitas Terbuka Surakarta</t>
  </si>
  <si>
    <t>Manajer Keuangan, Sumber Daya, dan Umum pada Universitas Terbuka Surakarta</t>
  </si>
  <si>
    <t>Manajer Pembelajaran, Kemahasiswaan, dan Alumni pada Universitas Terbuka Yogyakarta</t>
  </si>
  <si>
    <t>Manajer Perluasan Daya Jangkau, Registrasi, dan Ujian pada Universitas Terbuka Yogyakarta</t>
  </si>
  <si>
    <t>Manajer Keuangan, Sumber Daya, dan Umum pada Universitas Terbuka Yogyakarta</t>
  </si>
  <si>
    <t>Manajer Pembelajaran, Kemahasiswaan, dan Alumni pada Universitas Terbuka Palangkaraya</t>
  </si>
  <si>
    <t>Manajer Perluasan Daya Jangkau, Registrasi, dan Ujian pada Universitas Terbuka Palangkaraya</t>
  </si>
  <si>
    <t>Manajer Keuangan, Sumber Daya, dan Umum pada Universitas Terbuka Palangkaraya</t>
  </si>
  <si>
    <t>Manajer Pembelajaran, Kemahasiswaan, dan Alumni pada Universitas Terbuka Banjarmasin</t>
  </si>
  <si>
    <t>Manajer Perluasan Daya Jangkau, Registrasi, dan Ujian pada Universitas Terbuka Banjarmasin</t>
  </si>
  <si>
    <t>Manajer Keuangan, Sumber Daya, dan Umum pada Universitas Terbuka Banjarmasin</t>
  </si>
  <si>
    <t>Manajer Pembelajaran, Kemahasiswaan, dan Alumni pada Universitas Terbuka Samarinda</t>
  </si>
  <si>
    <t>Manajer Perluasan Daya Jangkau, Registrasi, dan Ujian pada Universitas Terbuka Samarinda</t>
  </si>
  <si>
    <t>Manajer Keuangan, Sumber Daya, dan Umum pada Universitas Terbuka Samarinda</t>
  </si>
  <si>
    <t>Manajer Pembelajaran, Kemahasiswaan, dan Alumni pada Universitas Terbuka Surabaya</t>
  </si>
  <si>
    <t>Manajer Perluasan Daya Jangkau, Registrasi, dan Ujian pada Universitas Terbuka Surabaya</t>
  </si>
  <si>
    <t>Manajer Keuangan, Sumber Daya, dan Umum pada Universitas Terbuka Surabaya</t>
  </si>
  <si>
    <t>Direktur Universitas Terbuka Malang</t>
  </si>
  <si>
    <t>Manajer Pembelajaran, Kemahasiswaan, dan Alumni pada Universitas Terbuka Malang</t>
  </si>
  <si>
    <t>Manajer Perluasan Daya Jangkau, Registrasi, dan Ujian pada Universitas Terbuka Malang</t>
  </si>
  <si>
    <t>Manajer Keuangan, Sumber Daya, dan Umum pada Universitas Terbuka Malang</t>
  </si>
  <si>
    <t>Manajer Pembelajaran, Kemahasiswaan, dan Alumni pada Universitas Terbuka Jember</t>
  </si>
  <si>
    <t>Manajer Perluasan Daya Jangkau, Registrasi, dan Ujian pada Universitas Terbuka Jember</t>
  </si>
  <si>
    <t>Manajer Keuangan, Sumber Daya, dan Umum pada Universitas Terbuka Jember</t>
  </si>
  <si>
    <t>Manajer Pembelajaran, Kemahasiswaan, dan Alumni pada Universitas Terbuka Denpasar</t>
  </si>
  <si>
    <t>Manajer Perluasan Daya Jangkau, Registrasi, dan Ujian pada Universitas Terbuka Denpasar</t>
  </si>
  <si>
    <t>Manajer Keuangan, Sumber Daya, dan Umum pada Universitas Terbuka Denpasar</t>
  </si>
  <si>
    <t>Manajer Pembelajaran, Kemahasiswaan, dan Alumni pada Universitas Terbuka Mataram</t>
  </si>
  <si>
    <t>Manajer Perluasan Daya Jangkau, Registrasi, dan Ujian pada Universitas Terbuka Mataram</t>
  </si>
  <si>
    <t>Manajer Keuangan, Sumber Daya, dan Umum pada Universitas Terbuka Mataram</t>
  </si>
  <si>
    <t>Direktur Universitas Terbuka Kupang</t>
  </si>
  <si>
    <t>Manajer Pembelajaran, Kemahasiswaan, dan Alumni pada Universitas Terbuka Kupang</t>
  </si>
  <si>
    <t>Manajer Perluasan Daya Jangkau, Registrasi, dan Ujian pada Universitas Terbuka Kupang</t>
  </si>
  <si>
    <t>Manajer Keuangan, Sumber Daya, dan Umum pada Universitas Terbuka Kupang</t>
  </si>
  <si>
    <t>Manajer Pembelajaran, Kemahasiswaan, dan Alumni pada Universitas Terbuka Majene</t>
  </si>
  <si>
    <t>Manajer Perluasan Daya Jangkau, Registrasi, dan Ujian pada Universitas Terbuka Majene</t>
  </si>
  <si>
    <t>Manajer Keuangan, Sumber Daya, dan Umum pada Universitas Terbuka Majene</t>
  </si>
  <si>
    <t>Manajer Pembelajaran, Kemahasiswaan, dan Alumni pada Universitas Terbuka Palu</t>
  </si>
  <si>
    <t>Manajer Perluasan Daya Jangkau, Registrasi, dan Ujian pada Universitas Terbuka Palu</t>
  </si>
  <si>
    <t>Manajer Keuangan, Sumber Daya, dan Umum pada Universitas Terbuka Palu</t>
  </si>
  <si>
    <t>Manajer Pembelajaran, Kemahasiswaan, dan Alumni pada Universitas Terbuka Kendari</t>
  </si>
  <si>
    <t>Manajer Perluasan Daya Jangkau, Registrasi, dan Ujian pada Universitas Terbuka Kendari</t>
  </si>
  <si>
    <t>Manajer Keuangan, Sumber Daya, dan Umum pada Universitas Terbuka Kendari</t>
  </si>
  <si>
    <t>Manajer Pembelajaran, Kemahasiswaan, dan Alumni pada Universitas Terbuka Manado</t>
  </si>
  <si>
    <t>Manajer Perluasan Daya Jangkau, Registrasi, dan Ujian pada Universitas Terbuka Manado</t>
  </si>
  <si>
    <t>Manajer Keuangan, Sumber Daya, dan Umum pada Universitas Terbuka Manado</t>
  </si>
  <si>
    <t>Manajer Pembelajaran, Kemahasiswaan, dan Alumni pada Universitas Terbuka Gorontalo</t>
  </si>
  <si>
    <t>Manajer Perluasan Daya Jangkau, Registrasi, dan Ujian pada Universitas Terbuka Gorontalo</t>
  </si>
  <si>
    <t>Manajer Keuangan, Sumber Daya, dan Umum pada Universitas Terbuka Gorontalo</t>
  </si>
  <si>
    <t>Manajer Pembelajaran, Kemahasiswaan, dan Alumni pada Universitas Terbuka Ambon</t>
  </si>
  <si>
    <t>Manajer Perluasan Daya Jangkau, Registrasi, dan Ujian pada Universitas Terbuka Ambon</t>
  </si>
  <si>
    <t>Manajer Keuangan, Sumber Daya, dan Umum pada Universitas Terbuka Ambon</t>
  </si>
  <si>
    <t>Manajer Pembelajaran, Kemahasiswaan, dan Alumni pada Universitas Terbuka Jayapura</t>
  </si>
  <si>
    <t>Manajer Perluasan Daya Jangkau, Registrasi, dan Ujian pada Universitas Terbuka Jayapura</t>
  </si>
  <si>
    <t>Manajer Keuangan, Sumber Daya, dan Umum pada Universitas Terbuka Jayapura</t>
  </si>
  <si>
    <t>Manajer Pembelajaran, Kemahasiswaan, dan Alumni pada Universitas Terbuka Ternate</t>
  </si>
  <si>
    <t>Manajer Perluasan Daya Jangkau, Registrasi, dan Ujian pada Universitas Terbuka Ternate</t>
  </si>
  <si>
    <t>Manajer Keuangan, Sumber Daya, dan Umum pada Universitas Terbuka Ternate</t>
  </si>
  <si>
    <t>Manajer Pembelajaran, Kemahasiswaan, dan Alumni pada Universitas Terbuka Bengkulu</t>
  </si>
  <si>
    <t>Manajer Perluasan Daya Jangkau, Registrasi, dan Ujian pada Universitas Terbuka Bengkulu</t>
  </si>
  <si>
    <t>Manajer Keuangan, Sumber Daya, dan Umum pada Universitas Terbuka Bengkulu</t>
  </si>
  <si>
    <t>Manajer Pembelajaran, Kemahasiswaan, dan Alumni pada Universitas Terbuka Pontianak</t>
  </si>
  <si>
    <t>Manajer Perluasan Daya Jangkau, Registrasi, dan Ujian pada Universitas Terbuka Pontianak</t>
  </si>
  <si>
    <t>Manajer Keuangan, Sumber Daya, dan Umum pada Universitas Terbuka Pontianak</t>
  </si>
  <si>
    <t>Manajer Pembelajaran, Kemahasiswaan, dan Alumni pada Universitas Terbuka Makassar</t>
  </si>
  <si>
    <t>Manajer Perluasan Daya Jangkau, Registrasi, dan Ujian pada Universitas Terbuka Makassar</t>
  </si>
  <si>
    <t>Manajer Keuangan, Sumber Daya, dan Umum pada Universitas Terbuka Makassar</t>
  </si>
  <si>
    <t>Manajer Pembelajaran, Kemahasiswaan, dan Alumni pada Universitas Terbuka Tarakan</t>
  </si>
  <si>
    <t>Manajer Perluasan Daya Jangkau, Registrasi, dan Ujian pada Universitas Terbuka Tarakan</t>
  </si>
  <si>
    <t>Manajer Keuangan, Sumber Daya, dan Umum pada Universitas Terbuka Tarakan</t>
  </si>
  <si>
    <t>2026-2031</t>
  </si>
  <si>
    <t>sampai dengan 15 September 2030</t>
  </si>
  <si>
    <t>sampai dengan  15 September 2030</t>
  </si>
  <si>
    <t>sampai dengan 8 November 2029</t>
  </si>
  <si>
    <t>sampai dengan 18 Mei 2026</t>
  </si>
  <si>
    <t>sampai dengan 1 Desember 2026</t>
  </si>
  <si>
    <t>sampai dengan 11 September 2029</t>
  </si>
  <si>
    <t>sampai dengan 8 Mei 2028</t>
  </si>
  <si>
    <t>sampai dengan 27 November 2030</t>
  </si>
  <si>
    <t>sampai dengan 17 Oktober 2030</t>
  </si>
  <si>
    <t>sampai dengan 24 Mei 2028</t>
  </si>
  <si>
    <t>sampai dengan 23 Mei 2028</t>
  </si>
  <si>
    <t>sampai dengan 1 Juni 2026</t>
  </si>
  <si>
    <t>sampai dengan 21 April 2030</t>
  </si>
  <si>
    <t>sampai dengan 4 Oktober 2028</t>
  </si>
  <si>
    <t>sampai dengan 7 Februari 2029</t>
  </si>
  <si>
    <t>sampai dengan 10 Februari 2030</t>
  </si>
  <si>
    <t>sampai dengan 25 Mei 2028</t>
  </si>
  <si>
    <t>sampai dengan 15 November 2026</t>
  </si>
  <si>
    <t>sampai dengan  17 Oktober 2030</t>
  </si>
  <si>
    <t>sampai dengan 26 Mei 2028</t>
  </si>
  <si>
    <t>sampai dengan 9 Januari 2030</t>
  </si>
  <si>
    <t>sampai dengan 1 September 2028</t>
  </si>
  <si>
    <t>sampai dengan 31 Juli 2028</t>
  </si>
  <si>
    <t>sampai dengan 3 Maret 2030</t>
  </si>
  <si>
    <t>sampai dengan 11 November 2029</t>
  </si>
  <si>
    <t>sampai dengan 1 Januari 2031</t>
  </si>
  <si>
    <t>sampai dengan 29 Mei 2029</t>
  </si>
  <si>
    <t>sampai dengan 1 Desember 2030</t>
  </si>
  <si>
    <t>sampai dengan 19 Mei 2028</t>
  </si>
  <si>
    <t>sampai dengan 19 Februari 2030</t>
  </si>
  <si>
    <t>sampai dengan 1 November 2026</t>
  </si>
  <si>
    <t>sampai dengan 20 Juni 2029</t>
  </si>
  <si>
    <t>sampai dengan 5 Desember 2030</t>
  </si>
  <si>
    <t>sampai dengan 29 Agustus 2026</t>
  </si>
  <si>
    <t>sampai dengan 16 Juni 2026</t>
  </si>
  <si>
    <t>sampai dengan 24 Januari 2030</t>
  </si>
  <si>
    <t>sampai dengan 1 April 2026</t>
  </si>
  <si>
    <t>sampai dengan 8 Juni 2026</t>
  </si>
  <si>
    <t>sampai dengan 3 Juli 2029</t>
  </si>
  <si>
    <t>sampai dengan 30 Januari 2030</t>
  </si>
  <si>
    <t>sampai dengan 1 Agustus 2026</t>
  </si>
  <si>
    <t>sampai dengan 22 Februari 2029</t>
  </si>
  <si>
    <t>sampai dengan 1 Januari 2027</t>
  </si>
  <si>
    <t>sampai dengan 1 September 2026</t>
  </si>
  <si>
    <t>Dr. Zulkifli Sultan, S.E., M.M.</t>
  </si>
  <si>
    <t>Yadi Apriyadi, S.Kom.</t>
  </si>
  <si>
    <t>Dr. Sendi Ramdhani, M.Pd.</t>
  </si>
  <si>
    <t>Dr. Andi Harmoko Arifin, S.E., M.Si.</t>
  </si>
  <si>
    <t>Cynthia Ayu Manggarani, S.E., M.Sc.</t>
  </si>
  <si>
    <t>Suparman, S.Kom.</t>
  </si>
  <si>
    <t>Ramzy Saloko Pradipta, S.Kom.</t>
  </si>
  <si>
    <t>Prof. Dr. Ernik Yuliana, S.Pi., M.T.</t>
  </si>
  <si>
    <t>Dr. Andy Sapta, S.Pd., M.Pd., M.Si.</t>
  </si>
  <si>
    <t>Dr. Ira Geraldina, S.E., Ak., M.S.Ak.,CA.</t>
  </si>
  <si>
    <t>Dra. Susy Puspitasari, M.Pd.</t>
  </si>
  <si>
    <t>198902212022031004</t>
  </si>
  <si>
    <t>119821204202403101</t>
  </si>
  <si>
    <t>198604162022031001</t>
  </si>
  <si>
    <t>199004212024062001</t>
  </si>
  <si>
    <t>119940620202307101</t>
  </si>
  <si>
    <t>119950613202312101</t>
  </si>
  <si>
    <t>197207152005012012</t>
  </si>
  <si>
    <t>197809082005021001</t>
  </si>
  <si>
    <t>119771213202403201</t>
  </si>
  <si>
    <t>196608051989032003</t>
  </si>
  <si>
    <t>Staf Ahli Bidang Layanan Jarak Jauh di Univesitas Terbuka Daerah pada Kantor Wakil Rektor Bidang Sistem Informasi, Layanan Jarak Jauh dan Alumni Universitas Terbuka</t>
  </si>
  <si>
    <t>Kepala Seksi Layanan Data Digital Terpadu pada Direktorat Teknologi Digital Universitas Terbuka</t>
  </si>
  <si>
    <t>Direktur Universitas Terbuka Jakarta</t>
  </si>
  <si>
    <t>Ketua Program Studi Magister Manajemen Perikanan pada Sekolah Pascasarjana</t>
  </si>
  <si>
    <t>Ketua Program Studi Magister Teknologi Pendidikan pada Sekolah Pascasarjana</t>
  </si>
  <si>
    <t>Ketua Program Studi Magister Akuntansi pada Sekolah Pascasarjana</t>
  </si>
  <si>
    <t>Ketua Program Studi S1 Bimbingan dan Konseling pada Fakultas Keguruan dan Ilmu Pendidikan</t>
  </si>
  <si>
    <t>sampai dengan 1 Oktober 2026</t>
  </si>
  <si>
    <t xml:space="preserve">Sekretariat Universitas  </t>
  </si>
  <si>
    <t>Kantor Pengawas Internal Universitas Terbuka</t>
  </si>
  <si>
    <t>Kantor Penjaminan Mutu Universitas Terbuka</t>
  </si>
  <si>
    <t>Fakultas Keguruan dan Ilmu Pendidikan Universitas Terbuka</t>
  </si>
  <si>
    <t>Fakultas Hukum, Ilmu Sosial, dan Ilmu Politik Universitas Terbuka</t>
  </si>
  <si>
    <t>Fakultas Ekonomi dan Bisnis Universitas Terbuka</t>
  </si>
  <si>
    <t>Fakultas Sains dan Teknologi Universitas Terbuka</t>
  </si>
  <si>
    <t>Sekolah Pascasarjana Universitas Terbuka</t>
  </si>
  <si>
    <t>Sekolah Vokasi Universitas Terbuka</t>
  </si>
  <si>
    <t>Direktorat Administrasi Akademik dan Kemahasiswaan Universitas Terbuka</t>
  </si>
  <si>
    <t>Pusat Perpustakaan dan Kearsipan Universitas Terbuka</t>
  </si>
  <si>
    <t>Lembaga Pendukung Pembelajaran Jarak Jauh Universitas Terbuka</t>
  </si>
  <si>
    <t>Pusat Produksi Bahan Ajar Multimedia Lembaga Pendukung Pembelajaran Jarak Jauh Universitas Terbuka</t>
  </si>
  <si>
    <t>Pusat Distribusi Bahan Ajar Lembaga Pendukung Pembelajaran Jarak Jauh Universitas Terbuka</t>
  </si>
  <si>
    <t>Pusat Pengelolaan Pembelajaran Lembaga Pendukung Pembelajaran Jarak Jauh Universitas Terbuka</t>
  </si>
  <si>
    <t>Pusat Pengelolaan Ujian Lembaga Pendukung Pembelajaran Jarak Jauh Universitas Terbuka</t>
  </si>
  <si>
    <t>Direktorat Sumber Daya Manusia Universitas Terbuka</t>
  </si>
  <si>
    <t>Direktorat Manajemen Aset, Umum, dan Pengadaan Barang/Jasa Universitas Terbuka</t>
  </si>
  <si>
    <t>Pusat Pengelolaan Keuangan Universitas Terbuka</t>
  </si>
  <si>
    <t>Pusat Perencanaan dan Pelaporan Universitas Terbuka</t>
  </si>
  <si>
    <t>Pusat Bisnis dan Investasi Universitas Terbuka</t>
  </si>
  <si>
    <t>Pusat Komunikasi Publik dan Kerja Sama Universitas Terbuka</t>
  </si>
  <si>
    <t>Lembaga Penelitian dan Pengabdian Kepada Masyarakat Universitas Terbuka</t>
  </si>
  <si>
    <t>Pusat Penelitian Keilmuan Lembaga Penelitian dan Pengabdian kepada Masyarakat Universitas Terbuka</t>
  </si>
  <si>
    <t>Pusat Pengabdian Kepada Masyarakat Lembaga Penelitian dan Pengabdian kepada Masyarakat Universitas Terbuka</t>
  </si>
  <si>
    <t>Masyarakat Universitas Terbuka</t>
  </si>
  <si>
    <t>Pusat Riset dan Inovasi Pendidikan Jarak Jauh Lembaga Penelitian dan Pengabdian kepada Masyarakat Universitas Terbuka</t>
  </si>
  <si>
    <t>Kantor Rektor Universitas Terbuka</t>
  </si>
  <si>
    <t>Kantor Wakil Rektor Bidang Akademik dan Kemahasiswaan Universitas Terbuka</t>
  </si>
  <si>
    <t>Kantor Wakil Rektor Bidang Keuangan, Sumber Daya, dan Umum Universitas Terbuka</t>
  </si>
  <si>
    <t>Kantor Wakil Rektor Bidang Sistem Informasi, Layanan Jarak Jauh dan Alumni Universitas Terbuka</t>
  </si>
  <si>
    <t>Kantor Wakil Rektor Bidang Riset, Kerja Sama dan Bisnis Universitas Terbuka</t>
  </si>
  <si>
    <t>Direktorat Teknologi Digital Universitas Terbuka</t>
  </si>
  <si>
    <t>Unit Pemberdayaan Alumni, Sentra Karier, dan Penempatan Kerja Universitas Terbuka</t>
  </si>
  <si>
    <t>Universitas Terbuka Layanan Luar Negeri</t>
  </si>
  <si>
    <t xml:space="preserve">Universitas Terbuka Layanan Luar Negeri </t>
  </si>
  <si>
    <t xml:space="preserve">Sekretariat Universitas </t>
  </si>
  <si>
    <t>Unit Laboratorium Terpadu Universitas Terbuka</t>
  </si>
  <si>
    <t>Universitas Terbuka Sorong</t>
  </si>
  <si>
    <t>Universitas Terbuka Banda Aceh</t>
  </si>
  <si>
    <t>Universitas Terbuka Medan</t>
  </si>
  <si>
    <t>Universitas Terbuka Batam</t>
  </si>
  <si>
    <t>Universitas Terbuka Padang</t>
  </si>
  <si>
    <t>Universitas Terbuka Pangkalpinang</t>
  </si>
  <si>
    <t>Universitas Terbuka Pekanbaru</t>
  </si>
  <si>
    <t>Universitas Terbuka Jambi</t>
  </si>
  <si>
    <t>Universitas Terbuka Palembang</t>
  </si>
  <si>
    <t>Universitas Terbuka Bandar Lampung</t>
  </si>
  <si>
    <t>Universitas Terbuka Jakarta</t>
  </si>
  <si>
    <t>Universitas Terbuka Serang</t>
  </si>
  <si>
    <t>Universitas Terbuka Bogor</t>
  </si>
  <si>
    <t>Universitas Terbuka Bandung</t>
  </si>
  <si>
    <t>Universitas Terbuka Purwokerto</t>
  </si>
  <si>
    <t>Universitas Terbuka Semarang</t>
  </si>
  <si>
    <t>Universitas Terbuka Surakarta</t>
  </si>
  <si>
    <t>Universitas Terbuka Yogyakarta</t>
  </si>
  <si>
    <t>Universitas Terbuka Palangkaraya</t>
  </si>
  <si>
    <t>Universitas Terbuka Banjarmasin</t>
  </si>
  <si>
    <t>Universitas Terbuka Samarinda</t>
  </si>
  <si>
    <t>Universitas Terbuka Surabaya</t>
  </si>
  <si>
    <t>Universitas Terbuka Malang</t>
  </si>
  <si>
    <t>Universitas Terbuka Jember</t>
  </si>
  <si>
    <t>Universitas Terbuka Denpasar</t>
  </si>
  <si>
    <t>Universitas Terbuka Mataram</t>
  </si>
  <si>
    <t>Universitas Terbuka Kupang</t>
  </si>
  <si>
    <t>Universitas Terbuka Majene</t>
  </si>
  <si>
    <t>Universitas Terbuka Palu</t>
  </si>
  <si>
    <t>Universitas Terbuka Kendari</t>
  </si>
  <si>
    <t>Universitas Terbuka Manado</t>
  </si>
  <si>
    <t>Universitas Terbuka Gorontalo</t>
  </si>
  <si>
    <t>Universitas Terbuka Ambon</t>
  </si>
  <si>
    <t>Universitas Terbuka Jayapura</t>
  </si>
  <si>
    <t>Universitas Terbuka Ternate</t>
  </si>
  <si>
    <t>Universitas Terbuka Bengkulu</t>
  </si>
  <si>
    <t>Universitas Terbuka Pontianak</t>
  </si>
  <si>
    <t>Universitas Terbuka Makassar</t>
  </si>
  <si>
    <t>Universitas Terbuka Tarakan</t>
  </si>
  <si>
    <t>Sekolah Pascasarjana</t>
  </si>
  <si>
    <t>Fakultas Keguruan dan Ilmu Pendidikan</t>
  </si>
  <si>
    <t>Unit Laboratorium Terpadu</t>
  </si>
  <si>
    <t>Kantor Wakil Rektor Bidang Akademik dan Kemahasiswaan</t>
  </si>
  <si>
    <t>Kantor Wakil Rektor Bidang Sistem Informasi, Layanan Jarak Jauh dan Alumni</t>
  </si>
  <si>
    <t>Kantor Wakil Rektor Bidang Riset, Kerja Sama dan Bisnis</t>
  </si>
  <si>
    <t>kode_trx_ppk</t>
  </si>
  <si>
    <t>kode_unit</t>
  </si>
  <si>
    <t>nip</t>
  </si>
  <si>
    <t>status_ppk</t>
  </si>
  <si>
    <t>ucr</t>
  </si>
  <si>
    <t>uch</t>
  </si>
  <si>
    <t>udcr</t>
  </si>
  <si>
    <t>udch</t>
  </si>
  <si>
    <t>kode_pegawai</t>
  </si>
  <si>
    <t>kode_jabatan_struktural</t>
  </si>
  <si>
    <t>periode</t>
  </si>
  <si>
    <t>ppk</t>
  </si>
  <si>
    <t>kelas</t>
  </si>
  <si>
    <t>tmt_awal</t>
  </si>
  <si>
    <t>tmt_akhir</t>
  </si>
  <si>
    <t>nomor_sk_jabatan_struktural</t>
  </si>
  <si>
    <t>plh</t>
  </si>
  <si>
    <t>status_aktif</t>
  </si>
  <si>
    <t>nama_jabatan</t>
  </si>
  <si>
    <t>kode_jabatan_rujukan</t>
  </si>
  <si>
    <t>kode_eselon</t>
  </si>
  <si>
    <t>status_jabatan_struktural</t>
  </si>
  <si>
    <t>kasubag_paraf</t>
  </si>
  <si>
    <t>kode_jabstruk</t>
  </si>
  <si>
    <t>UN31.BPPU</t>
  </si>
  <si>
    <t>\N</t>
  </si>
  <si>
    <t>Kepala</t>
  </si>
  <si>
    <t>UN31.PPBI</t>
  </si>
  <si>
    <t>UN31.DPK</t>
  </si>
  <si>
    <t>Direktur</t>
  </si>
  <si>
    <t>UN31.PP41</t>
  </si>
  <si>
    <t>UN31.PSDM</t>
  </si>
  <si>
    <t>UN31.PPK</t>
  </si>
  <si>
    <t>196201311988122001</t>
  </si>
  <si>
    <t>Kepala Pusat Perpustakaan dan Kearsipan</t>
  </si>
  <si>
    <t>UN31.UPBJJ12</t>
  </si>
  <si>
    <t>219591218202501101</t>
  </si>
  <si>
    <t>UN31.UT12</t>
  </si>
  <si>
    <t>UN31.UPBJJ13</t>
  </si>
  <si>
    <t>196305091989031002</t>
  </si>
  <si>
    <t>UN31.SPS</t>
  </si>
  <si>
    <t>UN31.UPBJJ17</t>
  </si>
  <si>
    <t>UN31.UT17</t>
  </si>
  <si>
    <t>UN31.UPBJJ18</t>
  </si>
  <si>
    <t>196307161991032002</t>
  </si>
  <si>
    <t>UN31.UT18</t>
  </si>
  <si>
    <t>UN31.UPBJJ26</t>
  </si>
  <si>
    <t>219590905202410201</t>
  </si>
  <si>
    <t>UN31.UT26</t>
  </si>
  <si>
    <t>UN31.UPBJJ30</t>
  </si>
  <si>
    <t>196304021987011001</t>
  </si>
  <si>
    <t>UN31.UT30</t>
  </si>
  <si>
    <t>UN31.UPBJJ6</t>
  </si>
  <si>
    <t>196208031989032002</t>
  </si>
  <si>
    <t>UN31.UT6</t>
  </si>
  <si>
    <t>UN31.UPBJJ7</t>
  </si>
  <si>
    <t>UN31.UT7</t>
  </si>
  <si>
    <t>CONCAT('",b.nip)"</t>
  </si>
  <si>
    <t>ganti jabatan struktural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</si>
</sst>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family val="2"/>
      <scheme val="minor"/>
    </font>
    <font>
      <sz val="11"/>
      <color rgb="FF0F172A"/>
      <name val="Poppins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7" fillId="0" borderId="0" xfId="0" quotePrefix="1" applyFont="1"/>
    <xf numFmtId="22" fontId="0" fillId="0" borderId="0" xfId="0" applyNumberFormat="1"/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0E10-8C59-45F7-B15D-2A0F8F5A3B3E}">
  <sheetPr filterMode="1"/>
  <dimension ref="A1:P267"/>
  <sheetViews>
    <sheetView topLeftCell="I1" zoomScale="70" zoomScaleNormal="70" workbookViewId="0">
      <pane ySplit="1" topLeftCell="A49" activePane="bottomLeft" state="frozen"/>
      <selection activeCell="I1" sqref="I1"/>
      <selection pane="bottomLeft" activeCell="L272" sqref="L272"/>
    </sheetView>
  </sheetViews>
  <sheetFormatPr defaultColWidth="9.1796875" defaultRowHeight="14.5" x14ac:dyDescent="0.35"/>
  <cols>
    <col min="1" max="1" width="0" style="4" hidden="1" customWidth="1"/>
    <col min="2" max="2" width="0" style="3" hidden="1" customWidth="1"/>
    <col min="3" max="3" width="0" style="5" hidden="1" customWidth="1"/>
    <col min="4" max="8" width="0" style="3" hidden="1" customWidth="1"/>
    <col min="9" max="9" width="9.1796875" style="4"/>
    <col min="10" max="10" width="43.54296875" style="8" customWidth="1"/>
    <col min="11" max="11" width="20.453125" style="9" bestFit="1" customWidth="1"/>
    <col min="12" max="12" width="26" style="10" customWidth="1"/>
    <col min="13" max="13" width="20.26953125" style="10" bestFit="1" customWidth="1"/>
    <col min="14" max="14" width="55.26953125" style="8" customWidth="1"/>
    <col min="15" max="15" width="32.54296875" style="10" bestFit="1" customWidth="1"/>
    <col min="16" max="16" width="31" style="3" customWidth="1"/>
    <col min="17" max="16384" width="9.1796875" style="3"/>
  </cols>
  <sheetData>
    <row r="1" spans="1:16" ht="39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1"/>
      <c r="I1" s="16" t="s">
        <v>0</v>
      </c>
      <c r="J1" s="16" t="s">
        <v>1</v>
      </c>
      <c r="K1" s="17" t="s">
        <v>267</v>
      </c>
      <c r="L1" s="16" t="s">
        <v>3</v>
      </c>
      <c r="M1" s="16" t="s">
        <v>4</v>
      </c>
      <c r="N1" s="16" t="s">
        <v>5</v>
      </c>
      <c r="O1" s="16" t="s">
        <v>6</v>
      </c>
    </row>
    <row r="2" spans="1:16" ht="13" hidden="1" x14ac:dyDescent="0.3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2"/>
      <c r="I2" s="1" t="s">
        <v>7</v>
      </c>
      <c r="J2" s="1" t="s">
        <v>8</v>
      </c>
      <c r="K2" s="2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6" ht="26" hidden="1" x14ac:dyDescent="0.35">
      <c r="H3" s="13"/>
      <c r="I3" s="18">
        <v>1</v>
      </c>
      <c r="J3" s="19" t="s">
        <v>104</v>
      </c>
      <c r="K3" s="20" t="s">
        <v>359</v>
      </c>
      <c r="L3" s="21" t="s">
        <v>523</v>
      </c>
      <c r="M3" s="21" t="s">
        <v>533</v>
      </c>
      <c r="N3" s="19" t="s">
        <v>642</v>
      </c>
      <c r="O3" s="21" t="s">
        <v>808</v>
      </c>
      <c r="P3" s="3" t="s">
        <v>906</v>
      </c>
    </row>
    <row r="4" spans="1:16" ht="29" hidden="1" x14ac:dyDescent="0.35">
      <c r="H4" s="13"/>
      <c r="I4" s="18">
        <v>2</v>
      </c>
      <c r="J4" s="19" t="s">
        <v>105</v>
      </c>
      <c r="K4" s="20" t="s">
        <v>360</v>
      </c>
      <c r="L4" s="21" t="s">
        <v>524</v>
      </c>
      <c r="M4" s="21" t="s">
        <v>531</v>
      </c>
      <c r="N4" s="19" t="s">
        <v>643</v>
      </c>
      <c r="O4" s="21" t="s">
        <v>829</v>
      </c>
      <c r="P4" s="3" t="s">
        <v>906</v>
      </c>
    </row>
    <row r="5" spans="1:16" ht="29" hidden="1" x14ac:dyDescent="0.35">
      <c r="H5" s="13"/>
      <c r="I5" s="18">
        <f>I4+1</f>
        <v>3</v>
      </c>
      <c r="J5" s="19" t="s">
        <v>101</v>
      </c>
      <c r="K5" s="20" t="s">
        <v>356</v>
      </c>
      <c r="L5" s="21" t="s">
        <v>528</v>
      </c>
      <c r="M5" s="21" t="s">
        <v>537</v>
      </c>
      <c r="N5" s="19" t="s">
        <v>639</v>
      </c>
      <c r="O5" s="21" t="s">
        <v>814</v>
      </c>
      <c r="P5" s="3" t="s">
        <v>959</v>
      </c>
    </row>
    <row r="6" spans="1:16" ht="43.5" hidden="1" x14ac:dyDescent="0.35">
      <c r="H6" s="13"/>
      <c r="I6" s="18">
        <f t="shared" ref="I6:I69" si="0">I5+1</f>
        <v>4</v>
      </c>
      <c r="J6" s="19" t="s">
        <v>106</v>
      </c>
      <c r="K6" s="20" t="s">
        <v>361</v>
      </c>
      <c r="L6" s="21" t="s">
        <v>523</v>
      </c>
      <c r="M6" s="21" t="s">
        <v>531</v>
      </c>
      <c r="N6" s="19" t="s">
        <v>644</v>
      </c>
      <c r="O6" s="21" t="s">
        <v>830</v>
      </c>
      <c r="P6" s="3" t="s">
        <v>907</v>
      </c>
    </row>
    <row r="7" spans="1:16" ht="39" hidden="1" x14ac:dyDescent="0.35">
      <c r="H7" s="13"/>
      <c r="I7" s="18">
        <f t="shared" si="0"/>
        <v>5</v>
      </c>
      <c r="J7" s="19" t="s">
        <v>107</v>
      </c>
      <c r="K7" s="20" t="s">
        <v>362</v>
      </c>
      <c r="L7" s="21" t="s">
        <v>522</v>
      </c>
      <c r="M7" s="21" t="s">
        <v>533</v>
      </c>
      <c r="N7" s="19" t="s">
        <v>645</v>
      </c>
      <c r="O7" s="21" t="s">
        <v>806</v>
      </c>
      <c r="P7" s="3" t="s">
        <v>907</v>
      </c>
    </row>
    <row r="8" spans="1:16" ht="39" hidden="1" x14ac:dyDescent="0.35">
      <c r="H8" s="13"/>
      <c r="I8" s="18">
        <f t="shared" si="0"/>
        <v>6</v>
      </c>
      <c r="J8" s="22" t="s">
        <v>108</v>
      </c>
      <c r="K8" s="23" t="s">
        <v>363</v>
      </c>
      <c r="L8" s="21" t="s">
        <v>523</v>
      </c>
      <c r="M8" s="24" t="s">
        <v>531</v>
      </c>
      <c r="N8" s="22" t="s">
        <v>646</v>
      </c>
      <c r="O8" s="24" t="s">
        <v>805</v>
      </c>
      <c r="P8" s="3" t="s">
        <v>907</v>
      </c>
    </row>
    <row r="9" spans="1:16" ht="39" hidden="1" x14ac:dyDescent="0.35">
      <c r="H9" s="13"/>
      <c r="I9" s="18">
        <f t="shared" si="0"/>
        <v>7</v>
      </c>
      <c r="J9" s="19" t="s">
        <v>109</v>
      </c>
      <c r="K9" s="20" t="s">
        <v>364</v>
      </c>
      <c r="L9" s="21" t="s">
        <v>522</v>
      </c>
      <c r="M9" s="21" t="s">
        <v>533</v>
      </c>
      <c r="N9" s="19" t="s">
        <v>647</v>
      </c>
      <c r="O9" s="21" t="s">
        <v>805</v>
      </c>
      <c r="P9" s="3" t="s">
        <v>907</v>
      </c>
    </row>
    <row r="10" spans="1:16" ht="39" hidden="1" x14ac:dyDescent="0.35">
      <c r="H10" s="13"/>
      <c r="I10" s="18">
        <f t="shared" si="0"/>
        <v>8</v>
      </c>
      <c r="J10" s="19" t="s">
        <v>110</v>
      </c>
      <c r="K10" s="20" t="s">
        <v>365</v>
      </c>
      <c r="L10" s="21" t="s">
        <v>522</v>
      </c>
      <c r="M10" s="21" t="s">
        <v>534</v>
      </c>
      <c r="N10" s="19" t="s">
        <v>648</v>
      </c>
      <c r="O10" s="21" t="s">
        <v>831</v>
      </c>
      <c r="P10" s="3" t="s">
        <v>908</v>
      </c>
    </row>
    <row r="11" spans="1:16" ht="43.5" hidden="1" x14ac:dyDescent="0.35">
      <c r="H11" s="13"/>
      <c r="I11" s="18">
        <f t="shared" si="0"/>
        <v>9</v>
      </c>
      <c r="J11" s="19" t="s">
        <v>111</v>
      </c>
      <c r="K11" s="20" t="s">
        <v>366</v>
      </c>
      <c r="L11" s="21" t="s">
        <v>523</v>
      </c>
      <c r="M11" s="21" t="s">
        <v>531</v>
      </c>
      <c r="N11" s="19" t="s">
        <v>649</v>
      </c>
      <c r="O11" s="21" t="s">
        <v>830</v>
      </c>
      <c r="P11" s="3" t="s">
        <v>908</v>
      </c>
    </row>
    <row r="12" spans="1:16" ht="39" hidden="1" x14ac:dyDescent="0.35">
      <c r="H12" s="13"/>
      <c r="I12" s="18">
        <f t="shared" si="0"/>
        <v>10</v>
      </c>
      <c r="J12" s="19" t="s">
        <v>102</v>
      </c>
      <c r="K12" s="20" t="s">
        <v>357</v>
      </c>
      <c r="L12" s="21" t="s">
        <v>526</v>
      </c>
      <c r="M12" s="21" t="s">
        <v>537</v>
      </c>
      <c r="N12" s="19" t="s">
        <v>640</v>
      </c>
      <c r="O12" s="21" t="s">
        <v>828</v>
      </c>
      <c r="P12" s="3" t="s">
        <v>960</v>
      </c>
    </row>
    <row r="13" spans="1:16" ht="52" hidden="1" x14ac:dyDescent="0.35">
      <c r="H13" s="13"/>
      <c r="I13" s="18">
        <f t="shared" si="0"/>
        <v>11</v>
      </c>
      <c r="J13" s="19" t="s">
        <v>112</v>
      </c>
      <c r="K13" s="20" t="s">
        <v>367</v>
      </c>
      <c r="L13" s="21" t="s">
        <v>524</v>
      </c>
      <c r="M13" s="21" t="s">
        <v>536</v>
      </c>
      <c r="N13" s="19" t="s">
        <v>650</v>
      </c>
      <c r="O13" s="21" t="s">
        <v>806</v>
      </c>
      <c r="P13" s="3" t="s">
        <v>909</v>
      </c>
    </row>
    <row r="14" spans="1:16" ht="52" hidden="1" x14ac:dyDescent="0.35">
      <c r="H14" s="13"/>
      <c r="I14" s="18">
        <f t="shared" si="0"/>
        <v>12</v>
      </c>
      <c r="J14" s="19" t="s">
        <v>113</v>
      </c>
      <c r="K14" s="20" t="s">
        <v>368</v>
      </c>
      <c r="L14" s="21" t="s">
        <v>523</v>
      </c>
      <c r="M14" s="21" t="s">
        <v>531</v>
      </c>
      <c r="N14" s="19" t="s">
        <v>871</v>
      </c>
      <c r="O14" s="21" t="s">
        <v>821</v>
      </c>
      <c r="P14" s="3" t="s">
        <v>909</v>
      </c>
    </row>
    <row r="15" spans="1:16" ht="29" hidden="1" x14ac:dyDescent="0.35">
      <c r="H15" s="13"/>
      <c r="I15" s="18">
        <f t="shared" si="0"/>
        <v>13</v>
      </c>
      <c r="J15" s="19" t="s">
        <v>103</v>
      </c>
      <c r="K15" s="20" t="s">
        <v>358</v>
      </c>
      <c r="L15" s="21" t="s">
        <v>526</v>
      </c>
      <c r="M15" s="21" t="s">
        <v>533</v>
      </c>
      <c r="N15" s="19" t="s">
        <v>641</v>
      </c>
      <c r="O15" s="21" t="s">
        <v>814</v>
      </c>
      <c r="P15" s="3" t="s">
        <v>961</v>
      </c>
    </row>
    <row r="16" spans="1:16" ht="39" hidden="1" x14ac:dyDescent="0.35">
      <c r="H16" s="13"/>
      <c r="I16" s="18">
        <f t="shared" si="0"/>
        <v>14</v>
      </c>
      <c r="J16" s="22" t="s">
        <v>114</v>
      </c>
      <c r="K16" s="23" t="s">
        <v>369</v>
      </c>
      <c r="L16" s="21" t="s">
        <v>524</v>
      </c>
      <c r="M16" s="24" t="s">
        <v>532</v>
      </c>
      <c r="N16" s="22" t="s">
        <v>651</v>
      </c>
      <c r="O16" s="24" t="s">
        <v>820</v>
      </c>
      <c r="P16" s="3" t="s">
        <v>910</v>
      </c>
    </row>
    <row r="17" spans="8:16" ht="39" hidden="1" x14ac:dyDescent="0.35">
      <c r="H17" s="13"/>
      <c r="I17" s="18">
        <f t="shared" si="0"/>
        <v>15</v>
      </c>
      <c r="J17" s="19" t="s">
        <v>115</v>
      </c>
      <c r="K17" s="20" t="s">
        <v>370</v>
      </c>
      <c r="L17" s="21" t="s">
        <v>522</v>
      </c>
      <c r="M17" s="21" t="s">
        <v>531</v>
      </c>
      <c r="N17" s="19" t="s">
        <v>652</v>
      </c>
      <c r="O17" s="21" t="s">
        <v>806</v>
      </c>
      <c r="P17" s="3" t="s">
        <v>910</v>
      </c>
    </row>
    <row r="18" spans="8:16" ht="43.5" hidden="1" x14ac:dyDescent="0.35">
      <c r="H18" s="13"/>
      <c r="I18" s="18">
        <f t="shared" si="0"/>
        <v>16</v>
      </c>
      <c r="J18" s="19" t="s">
        <v>854</v>
      </c>
      <c r="K18" s="20" t="s">
        <v>864</v>
      </c>
      <c r="L18" s="21" t="s">
        <v>524</v>
      </c>
      <c r="M18" s="21" t="s">
        <v>536</v>
      </c>
      <c r="N18" s="19" t="s">
        <v>653</v>
      </c>
      <c r="O18" s="21" t="s">
        <v>805</v>
      </c>
      <c r="P18" s="3" t="s">
        <v>910</v>
      </c>
    </row>
    <row r="19" spans="8:16" ht="39" hidden="1" x14ac:dyDescent="0.35">
      <c r="H19" s="13"/>
      <c r="I19" s="18">
        <f t="shared" si="0"/>
        <v>17</v>
      </c>
      <c r="J19" s="19" t="s">
        <v>54</v>
      </c>
      <c r="K19" s="20" t="s">
        <v>309</v>
      </c>
      <c r="L19" s="21" t="s">
        <v>525</v>
      </c>
      <c r="M19" s="21" t="s">
        <v>539</v>
      </c>
      <c r="N19" s="19" t="s">
        <v>590</v>
      </c>
      <c r="O19" s="21" t="s">
        <v>812</v>
      </c>
      <c r="P19" s="3" t="s">
        <v>888</v>
      </c>
    </row>
    <row r="20" spans="8:16" ht="39" hidden="1" x14ac:dyDescent="0.35">
      <c r="H20" s="13"/>
      <c r="I20" s="18">
        <f t="shared" si="0"/>
        <v>18</v>
      </c>
      <c r="J20" s="19" t="s">
        <v>55</v>
      </c>
      <c r="K20" s="20" t="s">
        <v>310</v>
      </c>
      <c r="L20" s="21" t="s">
        <v>525</v>
      </c>
      <c r="M20" s="21"/>
      <c r="N20" s="19" t="s">
        <v>591</v>
      </c>
      <c r="O20" s="21" t="s">
        <v>819</v>
      </c>
      <c r="P20" s="3" t="s">
        <v>888</v>
      </c>
    </row>
    <row r="21" spans="8:16" ht="43.5" hidden="1" x14ac:dyDescent="0.35">
      <c r="H21" s="13"/>
      <c r="I21" s="18">
        <f t="shared" si="0"/>
        <v>19</v>
      </c>
      <c r="J21" s="19" t="s">
        <v>56</v>
      </c>
      <c r="K21" s="20" t="s">
        <v>311</v>
      </c>
      <c r="L21" s="21" t="s">
        <v>522</v>
      </c>
      <c r="M21" s="21" t="s">
        <v>540</v>
      </c>
      <c r="N21" s="19" t="s">
        <v>592</v>
      </c>
      <c r="O21" s="21" t="s">
        <v>819</v>
      </c>
      <c r="P21" s="3" t="s">
        <v>888</v>
      </c>
    </row>
    <row r="22" spans="8:16" ht="43.5" hidden="1" x14ac:dyDescent="0.35">
      <c r="H22" s="13"/>
      <c r="I22" s="18">
        <f t="shared" si="0"/>
        <v>20</v>
      </c>
      <c r="J22" s="19" t="s">
        <v>57</v>
      </c>
      <c r="K22" s="20" t="s">
        <v>312</v>
      </c>
      <c r="L22" s="21" t="s">
        <v>522</v>
      </c>
      <c r="M22" s="21" t="s">
        <v>540</v>
      </c>
      <c r="N22" s="19" t="s">
        <v>593</v>
      </c>
      <c r="O22" s="21" t="s">
        <v>819</v>
      </c>
      <c r="P22" s="3" t="s">
        <v>888</v>
      </c>
    </row>
    <row r="23" spans="8:16" ht="43.5" hidden="1" x14ac:dyDescent="0.35">
      <c r="H23" s="13"/>
      <c r="I23" s="18">
        <f t="shared" si="0"/>
        <v>21</v>
      </c>
      <c r="J23" s="19" t="s">
        <v>58</v>
      </c>
      <c r="K23" s="20" t="s">
        <v>313</v>
      </c>
      <c r="L23" s="21" t="s">
        <v>525</v>
      </c>
      <c r="M23" s="21"/>
      <c r="N23" s="19" t="s">
        <v>594</v>
      </c>
      <c r="O23" s="21" t="s">
        <v>805</v>
      </c>
      <c r="P23" s="3" t="s">
        <v>888</v>
      </c>
    </row>
    <row r="24" spans="8:16" ht="52" hidden="1" x14ac:dyDescent="0.35">
      <c r="H24" s="13"/>
      <c r="I24" s="18">
        <f t="shared" si="0"/>
        <v>22</v>
      </c>
      <c r="J24" s="19" t="s">
        <v>80</v>
      </c>
      <c r="K24" s="27" t="s">
        <v>335</v>
      </c>
      <c r="L24" s="21" t="s">
        <v>522</v>
      </c>
      <c r="M24" s="21" t="s">
        <v>543</v>
      </c>
      <c r="N24" s="19" t="s">
        <v>617</v>
      </c>
      <c r="O24" s="21" t="s">
        <v>824</v>
      </c>
      <c r="P24" s="3" t="s">
        <v>896</v>
      </c>
    </row>
    <row r="25" spans="8:16" ht="52" hidden="1" x14ac:dyDescent="0.35">
      <c r="H25" s="13"/>
      <c r="I25" s="18">
        <f t="shared" si="0"/>
        <v>23</v>
      </c>
      <c r="J25" s="19" t="s">
        <v>81</v>
      </c>
      <c r="K25" s="20" t="s">
        <v>336</v>
      </c>
      <c r="L25" s="21" t="s">
        <v>522</v>
      </c>
      <c r="M25" s="21"/>
      <c r="N25" s="19" t="s">
        <v>618</v>
      </c>
      <c r="O25" s="21" t="s">
        <v>805</v>
      </c>
      <c r="P25" s="3" t="s">
        <v>896</v>
      </c>
    </row>
    <row r="26" spans="8:16" ht="52" hidden="1" x14ac:dyDescent="0.35">
      <c r="H26" s="13"/>
      <c r="I26" s="18">
        <f t="shared" si="0"/>
        <v>24</v>
      </c>
      <c r="J26" s="19" t="s">
        <v>82</v>
      </c>
      <c r="K26" s="20" t="s">
        <v>337</v>
      </c>
      <c r="L26" s="21" t="s">
        <v>524</v>
      </c>
      <c r="M26" s="21" t="s">
        <v>544</v>
      </c>
      <c r="N26" s="19" t="s">
        <v>619</v>
      </c>
      <c r="O26" s="21" t="s">
        <v>814</v>
      </c>
      <c r="P26" s="3" t="s">
        <v>896</v>
      </c>
    </row>
    <row r="27" spans="8:16" ht="52" hidden="1" x14ac:dyDescent="0.35">
      <c r="H27" s="13"/>
      <c r="I27" s="18">
        <f t="shared" si="0"/>
        <v>25</v>
      </c>
      <c r="J27" s="19" t="s">
        <v>83</v>
      </c>
      <c r="K27" s="20" t="s">
        <v>338</v>
      </c>
      <c r="L27" s="21" t="s">
        <v>526</v>
      </c>
      <c r="M27" s="21" t="s">
        <v>545</v>
      </c>
      <c r="N27" s="19" t="s">
        <v>620</v>
      </c>
      <c r="O27" s="21" t="s">
        <v>805</v>
      </c>
      <c r="P27" s="3" t="s">
        <v>896</v>
      </c>
    </row>
    <row r="28" spans="8:16" ht="52" hidden="1" x14ac:dyDescent="0.35">
      <c r="H28" s="13"/>
      <c r="I28" s="18">
        <f t="shared" si="0"/>
        <v>26</v>
      </c>
      <c r="J28" s="19" t="s">
        <v>84</v>
      </c>
      <c r="K28" s="20" t="s">
        <v>339</v>
      </c>
      <c r="L28" s="21" t="s">
        <v>522</v>
      </c>
      <c r="M28" s="21"/>
      <c r="N28" s="19" t="s">
        <v>621</v>
      </c>
      <c r="O28" s="21" t="s">
        <v>805</v>
      </c>
      <c r="P28" s="3" t="s">
        <v>896</v>
      </c>
    </row>
    <row r="29" spans="8:16" ht="26" hidden="1" x14ac:dyDescent="0.35">
      <c r="H29" s="13"/>
      <c r="I29" s="18">
        <f t="shared" si="0"/>
        <v>27</v>
      </c>
      <c r="J29" s="19" t="s">
        <v>75</v>
      </c>
      <c r="K29" s="20" t="s">
        <v>330</v>
      </c>
      <c r="L29" s="21" t="s">
        <v>525</v>
      </c>
      <c r="M29" s="21" t="s">
        <v>533</v>
      </c>
      <c r="N29" s="19" t="s">
        <v>612</v>
      </c>
      <c r="O29" s="21" t="s">
        <v>805</v>
      </c>
      <c r="P29" s="3" t="s">
        <v>895</v>
      </c>
    </row>
    <row r="30" spans="8:16" ht="29" hidden="1" x14ac:dyDescent="0.35">
      <c r="H30" s="13"/>
      <c r="I30" s="18">
        <f t="shared" si="0"/>
        <v>28</v>
      </c>
      <c r="J30" s="19" t="s">
        <v>76</v>
      </c>
      <c r="K30" s="20" t="s">
        <v>331</v>
      </c>
      <c r="L30" s="21" t="s">
        <v>524</v>
      </c>
      <c r="M30" s="21"/>
      <c r="N30" s="19" t="s">
        <v>613</v>
      </c>
      <c r="O30" s="21" t="s">
        <v>806</v>
      </c>
      <c r="P30" s="3" t="s">
        <v>895</v>
      </c>
    </row>
    <row r="31" spans="8:16" ht="43.5" hidden="1" x14ac:dyDescent="0.35">
      <c r="H31" s="13"/>
      <c r="I31" s="18">
        <f t="shared" si="0"/>
        <v>29</v>
      </c>
      <c r="J31" s="19" t="s">
        <v>77</v>
      </c>
      <c r="K31" s="20" t="s">
        <v>332</v>
      </c>
      <c r="L31" s="21" t="s">
        <v>526</v>
      </c>
      <c r="M31" s="21" t="s">
        <v>542</v>
      </c>
      <c r="N31" s="19" t="s">
        <v>614</v>
      </c>
      <c r="O31" s="21" t="s">
        <v>805</v>
      </c>
      <c r="P31" s="3" t="s">
        <v>895</v>
      </c>
    </row>
    <row r="32" spans="8:16" ht="43.5" hidden="1" x14ac:dyDescent="0.35">
      <c r="H32" s="13"/>
      <c r="I32" s="18">
        <f t="shared" si="0"/>
        <v>30</v>
      </c>
      <c r="J32" s="19" t="s">
        <v>78</v>
      </c>
      <c r="K32" s="20" t="s">
        <v>333</v>
      </c>
      <c r="L32" s="21" t="s">
        <v>522</v>
      </c>
      <c r="M32" s="21" t="s">
        <v>531</v>
      </c>
      <c r="N32" s="19" t="s">
        <v>615</v>
      </c>
      <c r="O32" s="21" t="s">
        <v>805</v>
      </c>
      <c r="P32" s="3" t="s">
        <v>895</v>
      </c>
    </row>
    <row r="33" spans="8:16" ht="43.5" hidden="1" x14ac:dyDescent="0.35">
      <c r="H33" s="13"/>
      <c r="I33" s="18">
        <f t="shared" si="0"/>
        <v>31</v>
      </c>
      <c r="J33" s="19" t="s">
        <v>79</v>
      </c>
      <c r="K33" s="20" t="s">
        <v>334</v>
      </c>
      <c r="L33" s="21" t="s">
        <v>522</v>
      </c>
      <c r="M33" s="21" t="s">
        <v>541</v>
      </c>
      <c r="N33" s="19" t="s">
        <v>616</v>
      </c>
      <c r="O33" s="21" t="s">
        <v>806</v>
      </c>
      <c r="P33" s="3" t="s">
        <v>895</v>
      </c>
    </row>
    <row r="34" spans="8:16" ht="26" hidden="1" x14ac:dyDescent="0.35">
      <c r="H34" s="14"/>
      <c r="I34" s="18">
        <f t="shared" si="0"/>
        <v>32</v>
      </c>
      <c r="J34" s="22" t="s">
        <v>116</v>
      </c>
      <c r="K34" s="23" t="s">
        <v>371</v>
      </c>
      <c r="L34" s="21" t="s">
        <v>526</v>
      </c>
      <c r="M34" s="24" t="s">
        <v>533</v>
      </c>
      <c r="N34" s="22" t="s">
        <v>654</v>
      </c>
      <c r="O34" s="31" t="s">
        <v>832</v>
      </c>
      <c r="P34" s="3" t="s">
        <v>911</v>
      </c>
    </row>
    <row r="35" spans="8:16" ht="43.5" hidden="1" x14ac:dyDescent="0.35">
      <c r="H35" s="13"/>
      <c r="I35" s="18">
        <f t="shared" si="0"/>
        <v>33</v>
      </c>
      <c r="J35" s="19" t="s">
        <v>117</v>
      </c>
      <c r="K35" s="20" t="s">
        <v>372</v>
      </c>
      <c r="L35" s="21" t="s">
        <v>523</v>
      </c>
      <c r="M35" s="21" t="s">
        <v>540</v>
      </c>
      <c r="N35" s="19" t="s">
        <v>655</v>
      </c>
      <c r="O35" s="21" t="s">
        <v>812</v>
      </c>
      <c r="P35" s="3" t="s">
        <v>911</v>
      </c>
    </row>
    <row r="36" spans="8:16" ht="29" hidden="1" x14ac:dyDescent="0.35">
      <c r="H36" s="13"/>
      <c r="I36" s="18">
        <f t="shared" si="0"/>
        <v>34</v>
      </c>
      <c r="J36" s="19" t="s">
        <v>118</v>
      </c>
      <c r="K36" s="20" t="s">
        <v>373</v>
      </c>
      <c r="L36" s="21" t="s">
        <v>529</v>
      </c>
      <c r="M36" s="21" t="s">
        <v>544</v>
      </c>
      <c r="N36" s="19" t="s">
        <v>656</v>
      </c>
      <c r="O36" s="21" t="s">
        <v>812</v>
      </c>
      <c r="P36" s="3" t="s">
        <v>911</v>
      </c>
    </row>
    <row r="37" spans="8:16" ht="29" hidden="1" x14ac:dyDescent="0.35">
      <c r="H37" s="13"/>
      <c r="I37" s="18">
        <f t="shared" si="0"/>
        <v>35</v>
      </c>
      <c r="J37" s="19" t="s">
        <v>119</v>
      </c>
      <c r="K37" s="20" t="s">
        <v>374</v>
      </c>
      <c r="L37" s="21" t="s">
        <v>523</v>
      </c>
      <c r="M37" s="21"/>
      <c r="N37" s="19" t="s">
        <v>657</v>
      </c>
      <c r="O37" s="21" t="s">
        <v>828</v>
      </c>
      <c r="P37" s="3" t="s">
        <v>911</v>
      </c>
    </row>
    <row r="38" spans="8:16" ht="29" hidden="1" x14ac:dyDescent="0.35">
      <c r="H38" s="13"/>
      <c r="I38" s="18">
        <f t="shared" si="0"/>
        <v>36</v>
      </c>
      <c r="J38" s="19" t="s">
        <v>120</v>
      </c>
      <c r="K38" s="20" t="s">
        <v>375</v>
      </c>
      <c r="L38" s="21" t="s">
        <v>524</v>
      </c>
      <c r="M38" s="21"/>
      <c r="N38" s="19" t="s">
        <v>658</v>
      </c>
      <c r="O38" s="21" t="s">
        <v>805</v>
      </c>
      <c r="P38" s="3" t="s">
        <v>911</v>
      </c>
    </row>
    <row r="39" spans="8:16" ht="29" hidden="1" x14ac:dyDescent="0.35">
      <c r="H39" s="13"/>
      <c r="I39" s="18">
        <f t="shared" si="0"/>
        <v>37</v>
      </c>
      <c r="J39" s="19" t="s">
        <v>121</v>
      </c>
      <c r="K39" s="20" t="s">
        <v>376</v>
      </c>
      <c r="L39" s="21" t="s">
        <v>524</v>
      </c>
      <c r="M39" s="21"/>
      <c r="N39" s="19" t="s">
        <v>659</v>
      </c>
      <c r="O39" s="21" t="s">
        <v>805</v>
      </c>
      <c r="P39" s="3" t="s">
        <v>911</v>
      </c>
    </row>
    <row r="40" spans="8:16" ht="29" hidden="1" x14ac:dyDescent="0.35">
      <c r="H40" s="13"/>
      <c r="I40" s="18">
        <f t="shared" si="0"/>
        <v>38</v>
      </c>
      <c r="J40" s="19" t="s">
        <v>122</v>
      </c>
      <c r="K40" s="20" t="s">
        <v>377</v>
      </c>
      <c r="L40" s="21" t="s">
        <v>522</v>
      </c>
      <c r="M40" s="21" t="s">
        <v>547</v>
      </c>
      <c r="N40" s="19" t="s">
        <v>660</v>
      </c>
      <c r="O40" s="21" t="s">
        <v>805</v>
      </c>
      <c r="P40" s="3" t="s">
        <v>911</v>
      </c>
    </row>
    <row r="41" spans="8:16" ht="29" hidden="1" x14ac:dyDescent="0.35">
      <c r="H41" s="13"/>
      <c r="I41" s="18">
        <f t="shared" si="0"/>
        <v>39</v>
      </c>
      <c r="J41" s="19" t="s">
        <v>855</v>
      </c>
      <c r="K41" s="20" t="s">
        <v>865</v>
      </c>
      <c r="L41" s="21" t="s">
        <v>529</v>
      </c>
      <c r="M41" s="21"/>
      <c r="N41" s="19" t="s">
        <v>872</v>
      </c>
      <c r="O41" s="21" t="s">
        <v>805</v>
      </c>
      <c r="P41" s="3" t="s">
        <v>911</v>
      </c>
    </row>
    <row r="42" spans="8:16" ht="29" hidden="1" x14ac:dyDescent="0.35">
      <c r="H42" s="13"/>
      <c r="I42" s="18">
        <f t="shared" si="0"/>
        <v>40</v>
      </c>
      <c r="J42" s="19" t="s">
        <v>123</v>
      </c>
      <c r="K42" s="20" t="s">
        <v>378</v>
      </c>
      <c r="L42" s="21" t="s">
        <v>522</v>
      </c>
      <c r="M42" s="21"/>
      <c r="N42" s="19" t="s">
        <v>661</v>
      </c>
      <c r="O42" s="21" t="s">
        <v>805</v>
      </c>
      <c r="P42" s="3" t="s">
        <v>911</v>
      </c>
    </row>
    <row r="43" spans="8:16" ht="26" hidden="1" x14ac:dyDescent="0.35">
      <c r="H43" s="14"/>
      <c r="I43" s="18">
        <f t="shared" si="0"/>
        <v>41</v>
      </c>
      <c r="J43" s="25" t="s">
        <v>32</v>
      </c>
      <c r="K43" s="20" t="s">
        <v>287</v>
      </c>
      <c r="L43" s="21" t="s">
        <v>528</v>
      </c>
      <c r="M43" s="21" t="s">
        <v>533</v>
      </c>
      <c r="N43" s="25" t="s">
        <v>568</v>
      </c>
      <c r="O43" s="26" t="s">
        <v>805</v>
      </c>
      <c r="P43" s="3" t="s">
        <v>884</v>
      </c>
    </row>
    <row r="44" spans="8:16" ht="29" hidden="1" x14ac:dyDescent="0.35">
      <c r="H44" s="13"/>
      <c r="I44" s="18">
        <f t="shared" si="0"/>
        <v>42</v>
      </c>
      <c r="J44" s="19" t="s">
        <v>33</v>
      </c>
      <c r="K44" s="20" t="s">
        <v>288</v>
      </c>
      <c r="L44" s="21" t="s">
        <v>525</v>
      </c>
      <c r="M44" s="21" t="s">
        <v>533</v>
      </c>
      <c r="N44" s="19" t="s">
        <v>569</v>
      </c>
      <c r="O44" s="21" t="s">
        <v>805</v>
      </c>
      <c r="P44" s="3" t="s">
        <v>884</v>
      </c>
    </row>
    <row r="45" spans="8:16" ht="29" hidden="1" x14ac:dyDescent="0.35">
      <c r="H45" s="13"/>
      <c r="I45" s="18">
        <f t="shared" si="0"/>
        <v>43</v>
      </c>
      <c r="J45" s="19" t="s">
        <v>34</v>
      </c>
      <c r="K45" s="27" t="s">
        <v>289</v>
      </c>
      <c r="L45" s="21" t="s">
        <v>523</v>
      </c>
      <c r="M45" s="21" t="s">
        <v>531</v>
      </c>
      <c r="N45" s="19" t="s">
        <v>570</v>
      </c>
      <c r="O45" s="21" t="s">
        <v>805</v>
      </c>
      <c r="P45" s="3" t="s">
        <v>884</v>
      </c>
    </row>
    <row r="46" spans="8:16" ht="29" hidden="1" x14ac:dyDescent="0.35">
      <c r="H46" s="13"/>
      <c r="I46" s="18">
        <f t="shared" si="0"/>
        <v>44</v>
      </c>
      <c r="J46" s="19" t="s">
        <v>35</v>
      </c>
      <c r="K46" s="20" t="s">
        <v>290</v>
      </c>
      <c r="L46" s="21" t="s">
        <v>522</v>
      </c>
      <c r="M46" s="21"/>
      <c r="N46" s="19" t="s">
        <v>571</v>
      </c>
      <c r="O46" s="21" t="s">
        <v>812</v>
      </c>
      <c r="P46" s="3" t="s">
        <v>884</v>
      </c>
    </row>
    <row r="47" spans="8:16" ht="29" hidden="1" x14ac:dyDescent="0.35">
      <c r="H47" s="13"/>
      <c r="I47" s="18">
        <f t="shared" si="0"/>
        <v>45</v>
      </c>
      <c r="J47" s="19" t="s">
        <v>36</v>
      </c>
      <c r="K47" s="20" t="s">
        <v>291</v>
      </c>
      <c r="L47" s="21" t="s">
        <v>522</v>
      </c>
      <c r="M47" s="21"/>
      <c r="N47" s="19" t="s">
        <v>572</v>
      </c>
      <c r="O47" s="21" t="s">
        <v>815</v>
      </c>
      <c r="P47" s="3" t="s">
        <v>884</v>
      </c>
    </row>
    <row r="48" spans="8:16" ht="29" hidden="1" x14ac:dyDescent="0.35">
      <c r="H48" s="13"/>
      <c r="I48" s="18">
        <f t="shared" si="0"/>
        <v>46</v>
      </c>
      <c r="J48" s="19" t="s">
        <v>37</v>
      </c>
      <c r="K48" s="20" t="s">
        <v>292</v>
      </c>
      <c r="L48" s="21" t="s">
        <v>522</v>
      </c>
      <c r="M48" s="21" t="s">
        <v>534</v>
      </c>
      <c r="N48" s="19" t="s">
        <v>573</v>
      </c>
      <c r="O48" s="21" t="s">
        <v>816</v>
      </c>
      <c r="P48" s="3" t="s">
        <v>884</v>
      </c>
    </row>
    <row r="49" spans="8:16" ht="29" x14ac:dyDescent="0.35">
      <c r="H49" s="13"/>
      <c r="I49" s="18">
        <f t="shared" si="0"/>
        <v>47</v>
      </c>
      <c r="J49" s="19" t="s">
        <v>38</v>
      </c>
      <c r="K49" s="20" t="s">
        <v>293</v>
      </c>
      <c r="L49" s="21" t="s">
        <v>529</v>
      </c>
      <c r="M49" s="21" t="s">
        <v>532</v>
      </c>
      <c r="N49" s="19" t="s">
        <v>574</v>
      </c>
      <c r="O49" s="21" t="s">
        <v>805</v>
      </c>
      <c r="P49" s="3" t="s">
        <v>884</v>
      </c>
    </row>
    <row r="50" spans="8:16" ht="39" hidden="1" x14ac:dyDescent="0.35">
      <c r="H50" s="13"/>
      <c r="I50" s="18">
        <f t="shared" si="0"/>
        <v>48</v>
      </c>
      <c r="J50" s="19" t="s">
        <v>851</v>
      </c>
      <c r="K50" s="20" t="s">
        <v>282</v>
      </c>
      <c r="L50" s="21" t="s">
        <v>522</v>
      </c>
      <c r="M50" s="21"/>
      <c r="N50" s="19" t="s">
        <v>563</v>
      </c>
      <c r="O50" s="21" t="s">
        <v>805</v>
      </c>
      <c r="P50" s="3" t="s">
        <v>883</v>
      </c>
    </row>
    <row r="51" spans="8:16" ht="39" hidden="1" x14ac:dyDescent="0.35">
      <c r="H51" s="13"/>
      <c r="I51" s="18">
        <f t="shared" si="0"/>
        <v>49</v>
      </c>
      <c r="J51" s="19" t="s">
        <v>28</v>
      </c>
      <c r="K51" s="20" t="s">
        <v>283</v>
      </c>
      <c r="L51" s="21" t="s">
        <v>522</v>
      </c>
      <c r="M51" s="21" t="s">
        <v>534</v>
      </c>
      <c r="N51" s="19" t="s">
        <v>564</v>
      </c>
      <c r="O51" s="21" t="s">
        <v>806</v>
      </c>
      <c r="P51" s="3" t="s">
        <v>883</v>
      </c>
    </row>
    <row r="52" spans="8:16" ht="43.5" hidden="1" x14ac:dyDescent="0.35">
      <c r="H52" s="13"/>
      <c r="I52" s="18">
        <f t="shared" si="0"/>
        <v>50</v>
      </c>
      <c r="J52" s="19" t="s">
        <v>29</v>
      </c>
      <c r="K52" s="20" t="s">
        <v>284</v>
      </c>
      <c r="L52" s="21" t="s">
        <v>522</v>
      </c>
      <c r="M52" s="21"/>
      <c r="N52" s="19" t="s">
        <v>565</v>
      </c>
      <c r="O52" s="21" t="s">
        <v>806</v>
      </c>
      <c r="P52" s="3" t="s">
        <v>883</v>
      </c>
    </row>
    <row r="53" spans="8:16" ht="39" hidden="1" x14ac:dyDescent="0.35">
      <c r="H53" s="13"/>
      <c r="I53" s="18">
        <f t="shared" si="0"/>
        <v>51</v>
      </c>
      <c r="J53" s="19" t="s">
        <v>31</v>
      </c>
      <c r="K53" s="20" t="s">
        <v>286</v>
      </c>
      <c r="L53" s="21" t="s">
        <v>523</v>
      </c>
      <c r="M53" s="21" t="s">
        <v>531</v>
      </c>
      <c r="N53" s="25" t="s">
        <v>567</v>
      </c>
      <c r="O53" s="21" t="s">
        <v>805</v>
      </c>
      <c r="P53" s="3" t="s">
        <v>883</v>
      </c>
    </row>
    <row r="54" spans="8:16" ht="29" hidden="1" x14ac:dyDescent="0.35">
      <c r="I54" s="18">
        <f t="shared" si="0"/>
        <v>52</v>
      </c>
      <c r="J54" s="19" t="s">
        <v>860</v>
      </c>
      <c r="K54" s="20" t="s">
        <v>870</v>
      </c>
      <c r="L54" s="21" t="s">
        <v>525</v>
      </c>
      <c r="M54" s="21" t="s">
        <v>533</v>
      </c>
      <c r="N54" s="19" t="s">
        <v>877</v>
      </c>
      <c r="O54" s="21" t="s">
        <v>805</v>
      </c>
      <c r="P54" s="3" t="s">
        <v>957</v>
      </c>
    </row>
    <row r="55" spans="8:16" ht="29" hidden="1" x14ac:dyDescent="0.35">
      <c r="H55" s="13"/>
      <c r="I55" s="18">
        <f t="shared" si="0"/>
        <v>53</v>
      </c>
      <c r="J55" s="19" t="s">
        <v>24</v>
      </c>
      <c r="K55" s="20" t="s">
        <v>278</v>
      </c>
      <c r="L55" s="21" t="s">
        <v>522</v>
      </c>
      <c r="M55" s="21"/>
      <c r="N55" s="19" t="s">
        <v>559</v>
      </c>
      <c r="O55" s="21" t="s">
        <v>813</v>
      </c>
      <c r="P55" s="3" t="s">
        <v>882</v>
      </c>
    </row>
    <row r="56" spans="8:16" ht="29" hidden="1" x14ac:dyDescent="0.35">
      <c r="H56" s="13"/>
      <c r="I56" s="18">
        <f t="shared" si="0"/>
        <v>54</v>
      </c>
      <c r="J56" s="19" t="s">
        <v>25</v>
      </c>
      <c r="K56" s="20" t="s">
        <v>279</v>
      </c>
      <c r="L56" s="21" t="s">
        <v>525</v>
      </c>
      <c r="M56" s="21"/>
      <c r="N56" s="19" t="s">
        <v>560</v>
      </c>
      <c r="O56" s="21" t="s">
        <v>814</v>
      </c>
      <c r="P56" s="3" t="s">
        <v>882</v>
      </c>
    </row>
    <row r="57" spans="8:16" ht="29" hidden="1" x14ac:dyDescent="0.35">
      <c r="H57" s="13"/>
      <c r="I57" s="18">
        <f t="shared" si="0"/>
        <v>55</v>
      </c>
      <c r="J57" s="19" t="s">
        <v>26</v>
      </c>
      <c r="K57" s="20" t="s">
        <v>280</v>
      </c>
      <c r="L57" s="21" t="s">
        <v>522</v>
      </c>
      <c r="M57" s="21"/>
      <c r="N57" s="19" t="s">
        <v>561</v>
      </c>
      <c r="O57" s="21" t="s">
        <v>815</v>
      </c>
      <c r="P57" s="3" t="s">
        <v>882</v>
      </c>
    </row>
    <row r="58" spans="8:16" ht="43.5" x14ac:dyDescent="0.35">
      <c r="H58" s="13"/>
      <c r="I58" s="18">
        <f t="shared" si="0"/>
        <v>56</v>
      </c>
      <c r="J58" s="19" t="s">
        <v>27</v>
      </c>
      <c r="K58" s="20" t="s">
        <v>281</v>
      </c>
      <c r="L58" s="21" t="s">
        <v>527</v>
      </c>
      <c r="M58" s="21" t="s">
        <v>533</v>
      </c>
      <c r="N58" s="19" t="s">
        <v>562</v>
      </c>
      <c r="O58" s="21" t="s">
        <v>805</v>
      </c>
      <c r="P58" s="3" t="s">
        <v>882</v>
      </c>
    </row>
    <row r="59" spans="8:16" ht="29" hidden="1" x14ac:dyDescent="0.35">
      <c r="H59" s="13"/>
      <c r="I59" s="18">
        <f t="shared" si="0"/>
        <v>57</v>
      </c>
      <c r="J59" s="22" t="s">
        <v>39</v>
      </c>
      <c r="K59" s="23" t="s">
        <v>294</v>
      </c>
      <c r="L59" s="21" t="s">
        <v>522</v>
      </c>
      <c r="M59" s="24" t="s">
        <v>531</v>
      </c>
      <c r="N59" s="22" t="s">
        <v>575</v>
      </c>
      <c r="O59" s="24" t="s">
        <v>805</v>
      </c>
      <c r="P59" s="3" t="s">
        <v>885</v>
      </c>
    </row>
    <row r="60" spans="8:16" ht="29" hidden="1" x14ac:dyDescent="0.35">
      <c r="H60" s="13"/>
      <c r="I60" s="18">
        <f t="shared" si="0"/>
        <v>58</v>
      </c>
      <c r="J60" s="19" t="s">
        <v>40</v>
      </c>
      <c r="K60" s="20" t="s">
        <v>295</v>
      </c>
      <c r="L60" s="21" t="s">
        <v>524</v>
      </c>
      <c r="M60" s="21"/>
      <c r="N60" s="19" t="s">
        <v>576</v>
      </c>
      <c r="O60" s="21" t="s">
        <v>805</v>
      </c>
      <c r="P60" s="3" t="s">
        <v>885</v>
      </c>
    </row>
    <row r="61" spans="8:16" ht="29" hidden="1" x14ac:dyDescent="0.35">
      <c r="H61" s="13"/>
      <c r="I61" s="18">
        <f t="shared" si="0"/>
        <v>59</v>
      </c>
      <c r="J61" s="19" t="s">
        <v>41</v>
      </c>
      <c r="K61" s="20" t="s">
        <v>296</v>
      </c>
      <c r="L61" s="21" t="s">
        <v>522</v>
      </c>
      <c r="M61" s="21"/>
      <c r="N61" s="19" t="s">
        <v>577</v>
      </c>
      <c r="O61" s="21" t="s">
        <v>817</v>
      </c>
      <c r="P61" s="3" t="s">
        <v>885</v>
      </c>
    </row>
    <row r="62" spans="8:16" ht="29" hidden="1" x14ac:dyDescent="0.35">
      <c r="H62" s="13"/>
      <c r="I62" s="18">
        <f t="shared" si="0"/>
        <v>60</v>
      </c>
      <c r="J62" s="19" t="s">
        <v>42</v>
      </c>
      <c r="K62" s="20" t="s">
        <v>297</v>
      </c>
      <c r="L62" s="21" t="s">
        <v>525</v>
      </c>
      <c r="M62" s="21" t="s">
        <v>535</v>
      </c>
      <c r="N62" s="19" t="s">
        <v>578</v>
      </c>
      <c r="O62" s="21" t="s">
        <v>816</v>
      </c>
      <c r="P62" s="3" t="s">
        <v>885</v>
      </c>
    </row>
    <row r="63" spans="8:16" ht="29" x14ac:dyDescent="0.35">
      <c r="H63" s="13"/>
      <c r="I63" s="18">
        <f t="shared" si="0"/>
        <v>61</v>
      </c>
      <c r="J63" s="22" t="s">
        <v>43</v>
      </c>
      <c r="K63" s="23" t="s">
        <v>298</v>
      </c>
      <c r="L63" s="21" t="s">
        <v>523</v>
      </c>
      <c r="M63" s="24" t="s">
        <v>531</v>
      </c>
      <c r="N63" s="19" t="s">
        <v>579</v>
      </c>
      <c r="O63" s="24" t="s">
        <v>805</v>
      </c>
      <c r="P63" s="3" t="s">
        <v>885</v>
      </c>
    </row>
    <row r="64" spans="8:16" ht="29" hidden="1" x14ac:dyDescent="0.35">
      <c r="H64" s="13"/>
      <c r="I64" s="18">
        <f t="shared" si="0"/>
        <v>62</v>
      </c>
      <c r="J64" s="22" t="s">
        <v>44</v>
      </c>
      <c r="K64" s="23" t="s">
        <v>299</v>
      </c>
      <c r="L64" s="21" t="s">
        <v>522</v>
      </c>
      <c r="M64" s="24" t="s">
        <v>533</v>
      </c>
      <c r="N64" s="28" t="s">
        <v>580</v>
      </c>
      <c r="O64" s="24" t="s">
        <v>805</v>
      </c>
      <c r="P64" s="3" t="s">
        <v>885</v>
      </c>
    </row>
    <row r="65" spans="8:16" ht="29" hidden="1" x14ac:dyDescent="0.35">
      <c r="H65" s="13"/>
      <c r="I65" s="18">
        <f t="shared" si="0"/>
        <v>63</v>
      </c>
      <c r="J65" s="22" t="s">
        <v>45</v>
      </c>
      <c r="K65" s="23" t="s">
        <v>300</v>
      </c>
      <c r="L65" s="21" t="s">
        <v>524</v>
      </c>
      <c r="M65" s="24" t="s">
        <v>532</v>
      </c>
      <c r="N65" s="28" t="s">
        <v>581</v>
      </c>
      <c r="O65" s="24" t="s">
        <v>805</v>
      </c>
      <c r="P65" s="3" t="s">
        <v>885</v>
      </c>
    </row>
    <row r="66" spans="8:16" ht="29" hidden="1" x14ac:dyDescent="0.35">
      <c r="H66" s="15"/>
      <c r="I66" s="18">
        <f t="shared" si="0"/>
        <v>64</v>
      </c>
      <c r="J66" s="28" t="s">
        <v>46</v>
      </c>
      <c r="K66" s="29" t="s">
        <v>301</v>
      </c>
      <c r="L66" s="21" t="s">
        <v>524</v>
      </c>
      <c r="M66" s="24" t="s">
        <v>536</v>
      </c>
      <c r="N66" s="28" t="s">
        <v>582</v>
      </c>
      <c r="O66" s="30" t="s">
        <v>805</v>
      </c>
      <c r="P66" s="3" t="s">
        <v>885</v>
      </c>
    </row>
    <row r="67" spans="8:16" ht="29" hidden="1" x14ac:dyDescent="0.35">
      <c r="H67" s="13"/>
      <c r="I67" s="18">
        <f t="shared" si="0"/>
        <v>65</v>
      </c>
      <c r="J67" s="25" t="s">
        <v>20</v>
      </c>
      <c r="K67" s="20" t="s">
        <v>274</v>
      </c>
      <c r="L67" s="21" t="s">
        <v>525</v>
      </c>
      <c r="M67" s="21"/>
      <c r="N67" s="25" t="s">
        <v>554</v>
      </c>
      <c r="O67" s="21" t="s">
        <v>809</v>
      </c>
      <c r="P67" s="3" t="s">
        <v>880</v>
      </c>
    </row>
    <row r="68" spans="8:16" ht="29" hidden="1" x14ac:dyDescent="0.35">
      <c r="H68" s="13"/>
      <c r="I68" s="18">
        <f t="shared" si="0"/>
        <v>66</v>
      </c>
      <c r="J68" s="19" t="s">
        <v>21</v>
      </c>
      <c r="K68" s="20" t="s">
        <v>275</v>
      </c>
      <c r="L68" s="21" t="s">
        <v>523</v>
      </c>
      <c r="M68" s="21"/>
      <c r="N68" s="19" t="s">
        <v>555</v>
      </c>
      <c r="O68" s="21" t="s">
        <v>810</v>
      </c>
      <c r="P68" s="3" t="s">
        <v>881</v>
      </c>
    </row>
    <row r="69" spans="8:16" ht="29" hidden="1" x14ac:dyDescent="0.35">
      <c r="H69" s="13"/>
      <c r="I69" s="18">
        <f t="shared" si="0"/>
        <v>67</v>
      </c>
      <c r="J69" s="19" t="s">
        <v>22</v>
      </c>
      <c r="K69" s="20" t="s">
        <v>276</v>
      </c>
      <c r="L69" s="21" t="s">
        <v>526</v>
      </c>
      <c r="M69" s="21" t="s">
        <v>533</v>
      </c>
      <c r="N69" s="19" t="s">
        <v>556</v>
      </c>
      <c r="O69" s="21" t="s">
        <v>811</v>
      </c>
      <c r="P69" s="3" t="s">
        <v>881</v>
      </c>
    </row>
    <row r="70" spans="8:16" ht="29" hidden="1" x14ac:dyDescent="0.35">
      <c r="H70" s="13"/>
      <c r="I70" s="18">
        <f t="shared" ref="I70:I133" si="1">I69+1</f>
        <v>68</v>
      </c>
      <c r="J70" s="19" t="s">
        <v>23</v>
      </c>
      <c r="K70" s="20" t="s">
        <v>277</v>
      </c>
      <c r="L70" s="21" t="s">
        <v>525</v>
      </c>
      <c r="M70" s="21" t="s">
        <v>533</v>
      </c>
      <c r="N70" s="19" t="s">
        <v>557</v>
      </c>
      <c r="O70" s="21" t="s">
        <v>812</v>
      </c>
      <c r="P70" s="3" t="s">
        <v>881</v>
      </c>
    </row>
    <row r="71" spans="8:16" ht="29" hidden="1" x14ac:dyDescent="0.35">
      <c r="H71" s="13"/>
      <c r="I71" s="18">
        <f t="shared" si="1"/>
        <v>69</v>
      </c>
      <c r="J71" s="19" t="s">
        <v>850</v>
      </c>
      <c r="K71" s="20" t="s">
        <v>861</v>
      </c>
      <c r="L71" s="21" t="s">
        <v>523</v>
      </c>
      <c r="M71" s="21" t="s">
        <v>531</v>
      </c>
      <c r="N71" s="19" t="s">
        <v>558</v>
      </c>
      <c r="O71" s="21" t="s">
        <v>805</v>
      </c>
      <c r="P71" s="3" t="s">
        <v>881</v>
      </c>
    </row>
    <row r="72" spans="8:16" ht="39" hidden="1" x14ac:dyDescent="0.35">
      <c r="H72" s="13"/>
      <c r="I72" s="18">
        <f t="shared" si="1"/>
        <v>70</v>
      </c>
      <c r="J72" s="19" t="s">
        <v>63</v>
      </c>
      <c r="K72" s="20" t="s">
        <v>318</v>
      </c>
      <c r="L72" s="21" t="s">
        <v>522</v>
      </c>
      <c r="M72" s="21" t="s">
        <v>541</v>
      </c>
      <c r="N72" s="19" t="s">
        <v>599</v>
      </c>
      <c r="O72" s="21" t="s">
        <v>805</v>
      </c>
      <c r="P72" s="3" t="s">
        <v>890</v>
      </c>
    </row>
    <row r="73" spans="8:16" ht="39" hidden="1" x14ac:dyDescent="0.35">
      <c r="H73" s="13"/>
      <c r="I73" s="18">
        <f t="shared" si="1"/>
        <v>71</v>
      </c>
      <c r="J73" s="19" t="s">
        <v>64</v>
      </c>
      <c r="K73" s="20" t="s">
        <v>319</v>
      </c>
      <c r="L73" s="21" t="s">
        <v>526</v>
      </c>
      <c r="M73" s="21" t="s">
        <v>537</v>
      </c>
      <c r="N73" s="19" t="s">
        <v>600</v>
      </c>
      <c r="O73" s="21" t="s">
        <v>808</v>
      </c>
      <c r="P73" s="3" t="s">
        <v>890</v>
      </c>
    </row>
    <row r="74" spans="8:16" ht="39" hidden="1" x14ac:dyDescent="0.35">
      <c r="H74" s="13"/>
      <c r="I74" s="18">
        <f t="shared" si="1"/>
        <v>72</v>
      </c>
      <c r="J74" s="19" t="s">
        <v>67</v>
      </c>
      <c r="K74" s="20" t="s">
        <v>322</v>
      </c>
      <c r="L74" s="21" t="s">
        <v>526</v>
      </c>
      <c r="M74" s="21" t="s">
        <v>535</v>
      </c>
      <c r="N74" s="19" t="s">
        <v>603</v>
      </c>
      <c r="O74" s="21" t="s">
        <v>814</v>
      </c>
      <c r="P74" s="3" t="s">
        <v>890</v>
      </c>
    </row>
    <row r="75" spans="8:16" ht="39" hidden="1" x14ac:dyDescent="0.35">
      <c r="H75" s="13"/>
      <c r="I75" s="18">
        <f t="shared" si="1"/>
        <v>73</v>
      </c>
      <c r="J75" s="22" t="s">
        <v>70</v>
      </c>
      <c r="K75" s="23" t="s">
        <v>325</v>
      </c>
      <c r="L75" s="21" t="s">
        <v>525</v>
      </c>
      <c r="M75" s="24" t="s">
        <v>539</v>
      </c>
      <c r="N75" s="22" t="s">
        <v>606</v>
      </c>
      <c r="O75" s="24" t="s">
        <v>821</v>
      </c>
      <c r="P75" s="3" t="s">
        <v>890</v>
      </c>
    </row>
    <row r="76" spans="8:16" ht="39" hidden="1" x14ac:dyDescent="0.35">
      <c r="H76" s="13"/>
      <c r="I76" s="18">
        <f t="shared" si="1"/>
        <v>74</v>
      </c>
      <c r="J76" s="19" t="s">
        <v>73</v>
      </c>
      <c r="K76" s="20" t="s">
        <v>328</v>
      </c>
      <c r="L76" s="21" t="s">
        <v>522</v>
      </c>
      <c r="M76" s="21" t="s">
        <v>531</v>
      </c>
      <c r="N76" s="19" t="s">
        <v>609</v>
      </c>
      <c r="O76" s="21" t="s">
        <v>821</v>
      </c>
      <c r="P76" s="3" t="s">
        <v>890</v>
      </c>
    </row>
    <row r="77" spans="8:16" ht="39" hidden="1" x14ac:dyDescent="0.35">
      <c r="H77" s="13"/>
      <c r="I77" s="18">
        <f t="shared" si="1"/>
        <v>75</v>
      </c>
      <c r="J77" s="19" t="s">
        <v>95</v>
      </c>
      <c r="K77" s="20" t="s">
        <v>350</v>
      </c>
      <c r="L77" s="21" t="s">
        <v>524</v>
      </c>
      <c r="M77" s="21"/>
      <c r="N77" s="19" t="s">
        <v>633</v>
      </c>
      <c r="O77" s="21" t="s">
        <v>818</v>
      </c>
      <c r="P77" s="3" t="s">
        <v>901</v>
      </c>
    </row>
    <row r="78" spans="8:16" ht="39" hidden="1" x14ac:dyDescent="0.35">
      <c r="H78" s="13"/>
      <c r="I78" s="18">
        <f t="shared" si="1"/>
        <v>76</v>
      </c>
      <c r="J78" s="19" t="s">
        <v>96</v>
      </c>
      <c r="K78" s="20" t="s">
        <v>351</v>
      </c>
      <c r="L78" s="21" t="s">
        <v>525</v>
      </c>
      <c r="M78" s="21" t="s">
        <v>546</v>
      </c>
      <c r="N78" s="19" t="s">
        <v>634</v>
      </c>
      <c r="O78" s="21" t="s">
        <v>818</v>
      </c>
      <c r="P78" s="3" t="s">
        <v>901</v>
      </c>
    </row>
    <row r="79" spans="8:16" ht="43.5" hidden="1" x14ac:dyDescent="0.35">
      <c r="H79" s="13"/>
      <c r="I79" s="18">
        <f t="shared" si="1"/>
        <v>77</v>
      </c>
      <c r="J79" s="19" t="s">
        <v>99</v>
      </c>
      <c r="K79" s="27" t="s">
        <v>354</v>
      </c>
      <c r="L79" s="21" t="s">
        <v>526</v>
      </c>
      <c r="M79" s="21"/>
      <c r="N79" s="19" t="s">
        <v>637</v>
      </c>
      <c r="O79" s="21" t="s">
        <v>811</v>
      </c>
      <c r="P79" s="3" t="s">
        <v>904</v>
      </c>
    </row>
    <row r="80" spans="8:16" ht="26" hidden="1" x14ac:dyDescent="0.35">
      <c r="H80" s="13"/>
      <c r="I80" s="18">
        <f t="shared" si="1"/>
        <v>78</v>
      </c>
      <c r="J80" s="19" t="s">
        <v>87</v>
      </c>
      <c r="K80" s="20" t="s">
        <v>342</v>
      </c>
      <c r="L80" s="21" t="s">
        <v>525</v>
      </c>
      <c r="M80" s="21"/>
      <c r="N80" s="19" t="s">
        <v>624</v>
      </c>
      <c r="O80" s="21" t="s">
        <v>805</v>
      </c>
      <c r="P80" s="3" t="s">
        <v>899</v>
      </c>
    </row>
    <row r="81" spans="8:16" ht="29" hidden="1" x14ac:dyDescent="0.35">
      <c r="H81" s="13"/>
      <c r="I81" s="18">
        <f t="shared" si="1"/>
        <v>79</v>
      </c>
      <c r="J81" s="19" t="s">
        <v>88</v>
      </c>
      <c r="K81" s="20" t="s">
        <v>343</v>
      </c>
      <c r="L81" s="21" t="s">
        <v>524</v>
      </c>
      <c r="M81" s="21"/>
      <c r="N81" s="19" t="s">
        <v>625</v>
      </c>
      <c r="O81" s="21" t="s">
        <v>826</v>
      </c>
      <c r="P81" s="3" t="s">
        <v>899</v>
      </c>
    </row>
    <row r="82" spans="8:16" ht="29" hidden="1" x14ac:dyDescent="0.35">
      <c r="H82" s="13"/>
      <c r="I82" s="18">
        <f t="shared" si="1"/>
        <v>80</v>
      </c>
      <c r="J82" s="19" t="s">
        <v>89</v>
      </c>
      <c r="K82" s="20" t="s">
        <v>344</v>
      </c>
      <c r="L82" s="21" t="s">
        <v>524</v>
      </c>
      <c r="M82" s="21" t="s">
        <v>532</v>
      </c>
      <c r="N82" s="19" t="s">
        <v>626</v>
      </c>
      <c r="O82" s="21" t="s">
        <v>806</v>
      </c>
      <c r="P82" s="3" t="s">
        <v>899</v>
      </c>
    </row>
    <row r="83" spans="8:16" ht="29" hidden="1" x14ac:dyDescent="0.35">
      <c r="H83" s="13"/>
      <c r="I83" s="18">
        <f t="shared" si="1"/>
        <v>81</v>
      </c>
      <c r="J83" s="19" t="s">
        <v>90</v>
      </c>
      <c r="K83" s="20" t="s">
        <v>345</v>
      </c>
      <c r="L83" s="21" t="s">
        <v>525</v>
      </c>
      <c r="M83" s="21"/>
      <c r="N83" s="19" t="s">
        <v>627</v>
      </c>
      <c r="O83" s="21" t="s">
        <v>805</v>
      </c>
      <c r="P83" s="3" t="s">
        <v>899</v>
      </c>
    </row>
    <row r="84" spans="8:16" ht="29" hidden="1" x14ac:dyDescent="0.35">
      <c r="H84" s="13"/>
      <c r="I84" s="18">
        <f t="shared" si="1"/>
        <v>82</v>
      </c>
      <c r="J84" s="19" t="s">
        <v>52</v>
      </c>
      <c r="K84" s="20" t="s">
        <v>307</v>
      </c>
      <c r="L84" s="21" t="s">
        <v>523</v>
      </c>
      <c r="M84" s="21" t="s">
        <v>538</v>
      </c>
      <c r="N84" s="19" t="s">
        <v>628</v>
      </c>
      <c r="O84" s="21" t="s">
        <v>805</v>
      </c>
      <c r="P84" s="3" t="s">
        <v>899</v>
      </c>
    </row>
    <row r="85" spans="8:16" ht="52" hidden="1" x14ac:dyDescent="0.35">
      <c r="H85" s="13"/>
      <c r="I85" s="18">
        <f t="shared" si="1"/>
        <v>83</v>
      </c>
      <c r="J85" s="19" t="s">
        <v>68</v>
      </c>
      <c r="K85" s="20" t="s">
        <v>323</v>
      </c>
      <c r="L85" s="21" t="s">
        <v>522</v>
      </c>
      <c r="M85" s="21"/>
      <c r="N85" s="19" t="s">
        <v>604</v>
      </c>
      <c r="O85" s="21" t="s">
        <v>820</v>
      </c>
      <c r="P85" s="3" t="s">
        <v>892</v>
      </c>
    </row>
    <row r="86" spans="8:16" ht="52" hidden="1" x14ac:dyDescent="0.35">
      <c r="H86" s="13"/>
      <c r="I86" s="18">
        <f t="shared" si="1"/>
        <v>84</v>
      </c>
      <c r="J86" s="19" t="s">
        <v>69</v>
      </c>
      <c r="K86" s="20" t="s">
        <v>324</v>
      </c>
      <c r="L86" s="21" t="s">
        <v>525</v>
      </c>
      <c r="M86" s="21" t="s">
        <v>540</v>
      </c>
      <c r="N86" s="19" t="s">
        <v>605</v>
      </c>
      <c r="O86" s="21" t="s">
        <v>814</v>
      </c>
      <c r="P86" s="3" t="s">
        <v>892</v>
      </c>
    </row>
    <row r="87" spans="8:16" ht="52" hidden="1" x14ac:dyDescent="0.35">
      <c r="H87" s="13"/>
      <c r="I87" s="18">
        <f t="shared" si="1"/>
        <v>85</v>
      </c>
      <c r="J87" s="19" t="s">
        <v>133</v>
      </c>
      <c r="K87" s="20" t="s">
        <v>388</v>
      </c>
      <c r="L87" s="21" t="s">
        <v>522</v>
      </c>
      <c r="M87" s="21"/>
      <c r="N87" s="19" t="s">
        <v>671</v>
      </c>
      <c r="O87" s="21" t="s">
        <v>833</v>
      </c>
      <c r="P87" s="3" t="s">
        <v>892</v>
      </c>
    </row>
    <row r="88" spans="8:16" ht="29" hidden="1" x14ac:dyDescent="0.35">
      <c r="H88" s="13"/>
      <c r="I88" s="18">
        <f t="shared" si="1"/>
        <v>86</v>
      </c>
      <c r="J88" s="19" t="s">
        <v>91</v>
      </c>
      <c r="K88" s="20" t="s">
        <v>346</v>
      </c>
      <c r="L88" s="21"/>
      <c r="M88" s="21"/>
      <c r="N88" s="19" t="s">
        <v>629</v>
      </c>
      <c r="O88" s="21" t="s">
        <v>827</v>
      </c>
      <c r="P88" s="3" t="s">
        <v>900</v>
      </c>
    </row>
    <row r="89" spans="8:16" ht="29" hidden="1" x14ac:dyDescent="0.35">
      <c r="H89" s="13"/>
      <c r="I89" s="18">
        <f t="shared" si="1"/>
        <v>87</v>
      </c>
      <c r="J89" s="19" t="s">
        <v>92</v>
      </c>
      <c r="K89" s="20" t="s">
        <v>347</v>
      </c>
      <c r="L89" s="21" t="s">
        <v>522</v>
      </c>
      <c r="M89" s="21"/>
      <c r="N89" s="19" t="s">
        <v>630</v>
      </c>
      <c r="O89" s="21" t="s">
        <v>805</v>
      </c>
      <c r="P89" s="3" t="s">
        <v>900</v>
      </c>
    </row>
    <row r="90" spans="8:16" ht="29" hidden="1" x14ac:dyDescent="0.35">
      <c r="H90" s="13"/>
      <c r="I90" s="18">
        <f t="shared" si="1"/>
        <v>88</v>
      </c>
      <c r="J90" s="19" t="s">
        <v>93</v>
      </c>
      <c r="K90" s="20" t="s">
        <v>348</v>
      </c>
      <c r="L90" s="21" t="s">
        <v>524</v>
      </c>
      <c r="M90" s="21" t="s">
        <v>532</v>
      </c>
      <c r="N90" s="19" t="s">
        <v>631</v>
      </c>
      <c r="O90" s="21" t="s">
        <v>805</v>
      </c>
      <c r="P90" s="3" t="s">
        <v>900</v>
      </c>
    </row>
    <row r="91" spans="8:16" ht="29" hidden="1" x14ac:dyDescent="0.35">
      <c r="H91" s="13"/>
      <c r="I91" s="18">
        <f t="shared" si="1"/>
        <v>89</v>
      </c>
      <c r="J91" s="19" t="s">
        <v>94</v>
      </c>
      <c r="K91" s="20" t="s">
        <v>349</v>
      </c>
      <c r="L91" s="21" t="s">
        <v>523</v>
      </c>
      <c r="M91" s="21" t="s">
        <v>531</v>
      </c>
      <c r="N91" s="19" t="s">
        <v>632</v>
      </c>
      <c r="O91" s="21" t="s">
        <v>805</v>
      </c>
      <c r="P91" s="3" t="s">
        <v>900</v>
      </c>
    </row>
    <row r="92" spans="8:16" ht="52" hidden="1" x14ac:dyDescent="0.35">
      <c r="H92" s="13"/>
      <c r="I92" s="18">
        <f t="shared" si="1"/>
        <v>90</v>
      </c>
      <c r="J92" s="19" t="s">
        <v>97</v>
      </c>
      <c r="K92" s="20" t="s">
        <v>352</v>
      </c>
      <c r="L92" s="21" t="s">
        <v>522</v>
      </c>
      <c r="M92" s="21" t="s">
        <v>531</v>
      </c>
      <c r="N92" s="19" t="s">
        <v>635</v>
      </c>
      <c r="O92" s="21" t="s">
        <v>806</v>
      </c>
      <c r="P92" s="3" t="s">
        <v>902</v>
      </c>
    </row>
    <row r="93" spans="8:16" ht="52" hidden="1" x14ac:dyDescent="0.35">
      <c r="H93" s="13"/>
      <c r="I93" s="18">
        <f t="shared" si="1"/>
        <v>91</v>
      </c>
      <c r="J93" s="22" t="s">
        <v>98</v>
      </c>
      <c r="K93" s="23" t="s">
        <v>353</v>
      </c>
      <c r="L93" s="21" t="s">
        <v>524</v>
      </c>
      <c r="M93" s="24" t="s">
        <v>531</v>
      </c>
      <c r="N93" s="22" t="s">
        <v>636</v>
      </c>
      <c r="O93" s="24" t="s">
        <v>805</v>
      </c>
      <c r="P93" s="3" t="s">
        <v>903</v>
      </c>
    </row>
    <row r="94" spans="8:16" ht="29" hidden="1" x14ac:dyDescent="0.35">
      <c r="H94" s="13"/>
      <c r="I94" s="18">
        <f t="shared" si="1"/>
        <v>92</v>
      </c>
      <c r="J94" s="19" t="s">
        <v>85</v>
      </c>
      <c r="K94" s="20" t="s">
        <v>340</v>
      </c>
      <c r="L94" s="21" t="s">
        <v>522</v>
      </c>
      <c r="M94" s="21"/>
      <c r="N94" s="19" t="s">
        <v>622</v>
      </c>
      <c r="O94" s="21" t="s">
        <v>822</v>
      </c>
      <c r="P94" s="3" t="s">
        <v>897</v>
      </c>
    </row>
    <row r="95" spans="8:16" ht="52" hidden="1" x14ac:dyDescent="0.35">
      <c r="H95" s="13"/>
      <c r="I95" s="18">
        <f t="shared" si="1"/>
        <v>93</v>
      </c>
      <c r="J95" s="19" t="s">
        <v>71</v>
      </c>
      <c r="K95" s="20" t="s">
        <v>326</v>
      </c>
      <c r="L95" s="21" t="s">
        <v>522</v>
      </c>
      <c r="M95" s="21"/>
      <c r="N95" s="19" t="s">
        <v>607</v>
      </c>
      <c r="O95" s="21" t="s">
        <v>812</v>
      </c>
      <c r="P95" s="3" t="s">
        <v>893</v>
      </c>
    </row>
    <row r="96" spans="8:16" ht="52" hidden="1" x14ac:dyDescent="0.35">
      <c r="H96" s="13"/>
      <c r="I96" s="18">
        <f t="shared" si="1"/>
        <v>94</v>
      </c>
      <c r="J96" s="19" t="s">
        <v>72</v>
      </c>
      <c r="K96" s="20" t="s">
        <v>327</v>
      </c>
      <c r="L96" s="21" t="s">
        <v>522</v>
      </c>
      <c r="M96" s="21"/>
      <c r="N96" s="19" t="s">
        <v>608</v>
      </c>
      <c r="O96" s="21" t="s">
        <v>822</v>
      </c>
      <c r="P96" s="3" t="s">
        <v>893</v>
      </c>
    </row>
    <row r="97" spans="8:16" ht="52" hidden="1" x14ac:dyDescent="0.35">
      <c r="H97" s="13"/>
      <c r="I97" s="18">
        <f t="shared" si="1"/>
        <v>95</v>
      </c>
      <c r="J97" s="19" t="s">
        <v>139</v>
      </c>
      <c r="K97" s="20" t="s">
        <v>394</v>
      </c>
      <c r="L97" s="21" t="s">
        <v>524</v>
      </c>
      <c r="M97" s="21"/>
      <c r="N97" s="19" t="s">
        <v>672</v>
      </c>
      <c r="O97" s="21" t="s">
        <v>805</v>
      </c>
      <c r="P97" s="3" t="s">
        <v>893</v>
      </c>
    </row>
    <row r="98" spans="8:16" ht="52" hidden="1" x14ac:dyDescent="0.35">
      <c r="H98" s="13"/>
      <c r="I98" s="18">
        <f t="shared" si="1"/>
        <v>96</v>
      </c>
      <c r="J98" s="19" t="s">
        <v>135</v>
      </c>
      <c r="K98" s="20" t="s">
        <v>390</v>
      </c>
      <c r="L98" s="21" t="s">
        <v>522</v>
      </c>
      <c r="M98" s="21"/>
      <c r="N98" s="19" t="s">
        <v>673</v>
      </c>
      <c r="O98" s="21" t="s">
        <v>805</v>
      </c>
      <c r="P98" s="3" t="s">
        <v>893</v>
      </c>
    </row>
    <row r="99" spans="8:16" ht="52" hidden="1" x14ac:dyDescent="0.35">
      <c r="H99" s="13"/>
      <c r="I99" s="18">
        <f t="shared" si="1"/>
        <v>97</v>
      </c>
      <c r="J99" s="19" t="s">
        <v>136</v>
      </c>
      <c r="K99" s="20" t="s">
        <v>391</v>
      </c>
      <c r="L99" s="21" t="s">
        <v>522</v>
      </c>
      <c r="M99" s="21"/>
      <c r="N99" s="19" t="s">
        <v>674</v>
      </c>
      <c r="O99" s="21" t="s">
        <v>831</v>
      </c>
      <c r="P99" s="3" t="s">
        <v>893</v>
      </c>
    </row>
    <row r="100" spans="8:16" ht="52" hidden="1" x14ac:dyDescent="0.35">
      <c r="H100" s="13"/>
      <c r="I100" s="18">
        <f t="shared" si="1"/>
        <v>98</v>
      </c>
      <c r="J100" s="22" t="s">
        <v>74</v>
      </c>
      <c r="K100" s="23" t="s">
        <v>329</v>
      </c>
      <c r="L100" s="21" t="s">
        <v>522</v>
      </c>
      <c r="M100" s="24" t="s">
        <v>531</v>
      </c>
      <c r="N100" s="22" t="s">
        <v>610</v>
      </c>
      <c r="O100" s="24" t="s">
        <v>823</v>
      </c>
      <c r="P100" s="3" t="s">
        <v>894</v>
      </c>
    </row>
    <row r="101" spans="8:16" ht="52" hidden="1" x14ac:dyDescent="0.35">
      <c r="H101" s="13"/>
      <c r="I101" s="18">
        <f t="shared" si="1"/>
        <v>99</v>
      </c>
      <c r="J101" s="19" t="s">
        <v>138</v>
      </c>
      <c r="K101" s="20" t="s">
        <v>393</v>
      </c>
      <c r="L101" s="21" t="s">
        <v>523</v>
      </c>
      <c r="M101" s="21" t="s">
        <v>544</v>
      </c>
      <c r="N101" s="19" t="s">
        <v>611</v>
      </c>
      <c r="O101" s="21" t="s">
        <v>805</v>
      </c>
      <c r="P101" s="3" t="s">
        <v>894</v>
      </c>
    </row>
    <row r="102" spans="8:16" ht="52" hidden="1" x14ac:dyDescent="0.35">
      <c r="H102" s="13"/>
      <c r="I102" s="18">
        <f t="shared" si="1"/>
        <v>100</v>
      </c>
      <c r="J102" s="19" t="s">
        <v>137</v>
      </c>
      <c r="K102" s="20" t="s">
        <v>392</v>
      </c>
      <c r="L102" s="21" t="s">
        <v>522</v>
      </c>
      <c r="M102" s="21" t="s">
        <v>547</v>
      </c>
      <c r="N102" s="19" t="s">
        <v>675</v>
      </c>
      <c r="O102" s="21" t="s">
        <v>805</v>
      </c>
      <c r="P102" s="3" t="s">
        <v>894</v>
      </c>
    </row>
    <row r="103" spans="8:16" ht="52" hidden="1" x14ac:dyDescent="0.35">
      <c r="H103" s="13"/>
      <c r="I103" s="18">
        <f t="shared" si="1"/>
        <v>101</v>
      </c>
      <c r="J103" s="32" t="s">
        <v>856</v>
      </c>
      <c r="K103" s="33" t="s">
        <v>866</v>
      </c>
      <c r="L103" s="32" t="s">
        <v>529</v>
      </c>
      <c r="M103" s="32"/>
      <c r="N103" s="19" t="s">
        <v>676</v>
      </c>
      <c r="O103" s="21" t="s">
        <v>805</v>
      </c>
      <c r="P103" s="3" t="s">
        <v>894</v>
      </c>
    </row>
    <row r="104" spans="8:16" ht="52" hidden="1" x14ac:dyDescent="0.35">
      <c r="H104" s="13"/>
      <c r="I104" s="18">
        <f t="shared" si="1"/>
        <v>102</v>
      </c>
      <c r="J104" s="19" t="s">
        <v>51</v>
      </c>
      <c r="K104" s="20" t="s">
        <v>306</v>
      </c>
      <c r="L104" s="21" t="s">
        <v>524</v>
      </c>
      <c r="M104" s="21"/>
      <c r="N104" s="19" t="s">
        <v>677</v>
      </c>
      <c r="O104" s="21" t="s">
        <v>805</v>
      </c>
      <c r="P104" s="3" t="s">
        <v>894</v>
      </c>
    </row>
    <row r="105" spans="8:16" ht="29" hidden="1" x14ac:dyDescent="0.35">
      <c r="H105" s="13"/>
      <c r="I105" s="18">
        <f t="shared" si="1"/>
        <v>103</v>
      </c>
      <c r="J105" s="19" t="s">
        <v>86</v>
      </c>
      <c r="K105" s="20" t="s">
        <v>341</v>
      </c>
      <c r="L105" s="21" t="s">
        <v>522</v>
      </c>
      <c r="M105" s="21"/>
      <c r="N105" s="19" t="s">
        <v>623</v>
      </c>
      <c r="O105" s="21" t="s">
        <v>825</v>
      </c>
      <c r="P105" s="3" t="s">
        <v>898</v>
      </c>
    </row>
    <row r="106" spans="8:16" ht="26" hidden="1" x14ac:dyDescent="0.35">
      <c r="H106" s="13"/>
      <c r="I106" s="18">
        <f t="shared" si="1"/>
        <v>104</v>
      </c>
      <c r="J106" s="19" t="s">
        <v>59</v>
      </c>
      <c r="K106" s="20" t="s">
        <v>314</v>
      </c>
      <c r="L106" s="21" t="s">
        <v>526</v>
      </c>
      <c r="M106" s="21" t="s">
        <v>533</v>
      </c>
      <c r="N106" s="19" t="s">
        <v>595</v>
      </c>
      <c r="O106" s="21" t="s">
        <v>805</v>
      </c>
      <c r="P106" s="3" t="s">
        <v>889</v>
      </c>
    </row>
    <row r="107" spans="8:16" ht="29" hidden="1" x14ac:dyDescent="0.35">
      <c r="H107" s="13"/>
      <c r="I107" s="18">
        <f t="shared" si="1"/>
        <v>105</v>
      </c>
      <c r="J107" s="19" t="s">
        <v>60</v>
      </c>
      <c r="K107" s="20" t="s">
        <v>315</v>
      </c>
      <c r="L107" s="21" t="s">
        <v>522</v>
      </c>
      <c r="M107" s="21"/>
      <c r="N107" s="19" t="s">
        <v>596</v>
      </c>
      <c r="O107" s="21" t="s">
        <v>805</v>
      </c>
      <c r="P107" s="3" t="s">
        <v>889</v>
      </c>
    </row>
    <row r="108" spans="8:16" ht="29" hidden="1" x14ac:dyDescent="0.35">
      <c r="H108" s="13"/>
      <c r="I108" s="18">
        <f t="shared" si="1"/>
        <v>106</v>
      </c>
      <c r="J108" s="22" t="s">
        <v>61</v>
      </c>
      <c r="K108" s="23" t="s">
        <v>316</v>
      </c>
      <c r="L108" s="21" t="s">
        <v>525</v>
      </c>
      <c r="M108" s="24" t="s">
        <v>532</v>
      </c>
      <c r="N108" s="22" t="s">
        <v>597</v>
      </c>
      <c r="O108" s="24" t="s">
        <v>805</v>
      </c>
      <c r="P108" s="3" t="s">
        <v>889</v>
      </c>
    </row>
    <row r="109" spans="8:16" ht="29" hidden="1" x14ac:dyDescent="0.35">
      <c r="H109" s="13"/>
      <c r="I109" s="18">
        <f t="shared" si="1"/>
        <v>107</v>
      </c>
      <c r="J109" s="19" t="s">
        <v>62</v>
      </c>
      <c r="K109" s="20" t="s">
        <v>317</v>
      </c>
      <c r="L109" s="21" t="s">
        <v>522</v>
      </c>
      <c r="M109" s="21" t="s">
        <v>531</v>
      </c>
      <c r="N109" s="19" t="s">
        <v>598</v>
      </c>
      <c r="O109" s="21" t="s">
        <v>812</v>
      </c>
      <c r="P109" s="3" t="s">
        <v>889</v>
      </c>
    </row>
    <row r="110" spans="8:16" ht="52" hidden="1" x14ac:dyDescent="0.35">
      <c r="H110" s="13"/>
      <c r="I110" s="18">
        <f t="shared" si="1"/>
        <v>108</v>
      </c>
      <c r="J110" s="19" t="s">
        <v>65</v>
      </c>
      <c r="K110" s="20" t="s">
        <v>320</v>
      </c>
      <c r="L110" s="21" t="s">
        <v>522</v>
      </c>
      <c r="M110" s="21"/>
      <c r="N110" s="19" t="s">
        <v>601</v>
      </c>
      <c r="O110" s="21" t="s">
        <v>808</v>
      </c>
      <c r="P110" s="3" t="s">
        <v>891</v>
      </c>
    </row>
    <row r="111" spans="8:16" ht="52" hidden="1" x14ac:dyDescent="0.35">
      <c r="H111" s="13"/>
      <c r="I111" s="18">
        <f t="shared" si="1"/>
        <v>109</v>
      </c>
      <c r="J111" s="19" t="s">
        <v>66</v>
      </c>
      <c r="K111" s="20" t="s">
        <v>321</v>
      </c>
      <c r="L111" s="21" t="s">
        <v>525</v>
      </c>
      <c r="M111" s="21"/>
      <c r="N111" s="19" t="s">
        <v>602</v>
      </c>
      <c r="O111" s="21" t="s">
        <v>808</v>
      </c>
      <c r="P111" s="3" t="s">
        <v>891</v>
      </c>
    </row>
    <row r="112" spans="8:16" ht="52" hidden="1" x14ac:dyDescent="0.35">
      <c r="H112" s="13"/>
      <c r="I112" s="18">
        <f t="shared" si="1"/>
        <v>110</v>
      </c>
      <c r="J112" s="19" t="s">
        <v>130</v>
      </c>
      <c r="K112" s="20" t="s">
        <v>385</v>
      </c>
      <c r="L112" s="21" t="s">
        <v>523</v>
      </c>
      <c r="M112" s="21"/>
      <c r="N112" s="19" t="s">
        <v>668</v>
      </c>
      <c r="O112" s="21" t="s">
        <v>805</v>
      </c>
      <c r="P112" s="3" t="s">
        <v>891</v>
      </c>
    </row>
    <row r="113" spans="8:16" ht="52" hidden="1" x14ac:dyDescent="0.35">
      <c r="H113" s="13"/>
      <c r="I113" s="18">
        <f t="shared" si="1"/>
        <v>111</v>
      </c>
      <c r="J113" s="19" t="s">
        <v>131</v>
      </c>
      <c r="K113" s="20" t="s">
        <v>386</v>
      </c>
      <c r="L113" s="21" t="s">
        <v>530</v>
      </c>
      <c r="M113" s="21"/>
      <c r="N113" s="19" t="s">
        <v>669</v>
      </c>
      <c r="O113" s="21" t="s">
        <v>805</v>
      </c>
      <c r="P113" s="3" t="s">
        <v>891</v>
      </c>
    </row>
    <row r="114" spans="8:16" ht="52" hidden="1" x14ac:dyDescent="0.35">
      <c r="H114" s="13"/>
      <c r="I114" s="18">
        <f t="shared" si="1"/>
        <v>112</v>
      </c>
      <c r="J114" s="19" t="s">
        <v>132</v>
      </c>
      <c r="K114" s="20" t="s">
        <v>387</v>
      </c>
      <c r="L114" s="21" t="s">
        <v>522</v>
      </c>
      <c r="M114" s="21" t="s">
        <v>534</v>
      </c>
      <c r="N114" s="19" t="s">
        <v>670</v>
      </c>
      <c r="O114" s="21" t="s">
        <v>805</v>
      </c>
      <c r="P114" s="3" t="s">
        <v>891</v>
      </c>
    </row>
    <row r="115" spans="8:16" ht="65" hidden="1" x14ac:dyDescent="0.35">
      <c r="H115" s="13"/>
      <c r="I115" s="18">
        <f t="shared" si="1"/>
        <v>113</v>
      </c>
      <c r="J115" s="19" t="s">
        <v>100</v>
      </c>
      <c r="K115" s="20" t="s">
        <v>355</v>
      </c>
      <c r="L115" s="21" t="s">
        <v>526</v>
      </c>
      <c r="M115" s="21" t="s">
        <v>533</v>
      </c>
      <c r="N115" s="19" t="s">
        <v>638</v>
      </c>
      <c r="O115" s="21" t="s">
        <v>805</v>
      </c>
      <c r="P115" s="3" t="s">
        <v>905</v>
      </c>
    </row>
    <row r="116" spans="8:16" ht="29" hidden="1" x14ac:dyDescent="0.35">
      <c r="I116" s="18">
        <f t="shared" si="1"/>
        <v>114</v>
      </c>
      <c r="J116" s="19" t="s">
        <v>857</v>
      </c>
      <c r="K116" s="20" t="s">
        <v>867</v>
      </c>
      <c r="L116" s="21" t="s">
        <v>528</v>
      </c>
      <c r="M116" s="21" t="s">
        <v>537</v>
      </c>
      <c r="N116" s="19" t="s">
        <v>874</v>
      </c>
      <c r="O116" s="21" t="s">
        <v>805</v>
      </c>
      <c r="P116" s="3" t="s">
        <v>956</v>
      </c>
    </row>
    <row r="117" spans="8:16" ht="29" hidden="1" x14ac:dyDescent="0.35">
      <c r="I117" s="18">
        <f t="shared" si="1"/>
        <v>115</v>
      </c>
      <c r="J117" s="19" t="s">
        <v>858</v>
      </c>
      <c r="K117" s="20" t="s">
        <v>868</v>
      </c>
      <c r="L117" s="21" t="s">
        <v>525</v>
      </c>
      <c r="M117" s="21" t="s">
        <v>533</v>
      </c>
      <c r="N117" s="19" t="s">
        <v>875</v>
      </c>
      <c r="O117" s="21" t="s">
        <v>805</v>
      </c>
      <c r="P117" s="3" t="s">
        <v>956</v>
      </c>
    </row>
    <row r="118" spans="8:16" ht="29" hidden="1" x14ac:dyDescent="0.35">
      <c r="I118" s="18">
        <f t="shared" si="1"/>
        <v>116</v>
      </c>
      <c r="J118" s="19" t="s">
        <v>859</v>
      </c>
      <c r="K118" s="20" t="s">
        <v>869</v>
      </c>
      <c r="L118" s="21" t="s">
        <v>523</v>
      </c>
      <c r="M118" s="21" t="s">
        <v>533</v>
      </c>
      <c r="N118" s="19" t="s">
        <v>876</v>
      </c>
      <c r="O118" s="21" t="s">
        <v>805</v>
      </c>
      <c r="P118" s="3" t="s">
        <v>956</v>
      </c>
    </row>
    <row r="119" spans="8:16" ht="29" hidden="1" x14ac:dyDescent="0.35">
      <c r="H119" s="13"/>
      <c r="I119" s="18">
        <f t="shared" si="1"/>
        <v>117</v>
      </c>
      <c r="J119" s="22" t="s">
        <v>47</v>
      </c>
      <c r="K119" s="23" t="s">
        <v>302</v>
      </c>
      <c r="L119" s="21" t="s">
        <v>526</v>
      </c>
      <c r="M119" s="24" t="s">
        <v>537</v>
      </c>
      <c r="N119" s="22" t="s">
        <v>583</v>
      </c>
      <c r="O119" s="24" t="s">
        <v>806</v>
      </c>
      <c r="P119" s="3" t="s">
        <v>886</v>
      </c>
    </row>
    <row r="120" spans="8:16" ht="29" hidden="1" x14ac:dyDescent="0.35">
      <c r="H120" s="13"/>
      <c r="I120" s="18">
        <f t="shared" si="1"/>
        <v>118</v>
      </c>
      <c r="J120" s="19" t="s">
        <v>134</v>
      </c>
      <c r="K120" s="20" t="s">
        <v>389</v>
      </c>
      <c r="L120" s="21" t="s">
        <v>522</v>
      </c>
      <c r="M120" s="21" t="s">
        <v>547</v>
      </c>
      <c r="N120" s="19" t="s">
        <v>584</v>
      </c>
      <c r="O120" s="21" t="s">
        <v>805</v>
      </c>
      <c r="P120" s="3" t="s">
        <v>886</v>
      </c>
    </row>
    <row r="121" spans="8:16" ht="29" hidden="1" x14ac:dyDescent="0.35">
      <c r="H121" s="13"/>
      <c r="I121" s="18">
        <f t="shared" si="1"/>
        <v>119</v>
      </c>
      <c r="J121" s="19" t="s">
        <v>49</v>
      </c>
      <c r="K121" s="20" t="s">
        <v>304</v>
      </c>
      <c r="L121" s="21" t="s">
        <v>524</v>
      </c>
      <c r="M121" s="21"/>
      <c r="N121" s="19" t="s">
        <v>585</v>
      </c>
      <c r="O121" s="21" t="s">
        <v>805</v>
      </c>
      <c r="P121" s="3" t="s">
        <v>886</v>
      </c>
    </row>
    <row r="122" spans="8:16" ht="29" hidden="1" x14ac:dyDescent="0.35">
      <c r="H122" s="13"/>
      <c r="I122" s="18">
        <f t="shared" si="1"/>
        <v>120</v>
      </c>
      <c r="J122" s="22" t="s">
        <v>50</v>
      </c>
      <c r="K122" s="23" t="s">
        <v>305</v>
      </c>
      <c r="L122" s="21" t="s">
        <v>522</v>
      </c>
      <c r="M122" s="24" t="s">
        <v>531</v>
      </c>
      <c r="N122" s="22" t="s">
        <v>586</v>
      </c>
      <c r="O122" s="24" t="s">
        <v>806</v>
      </c>
      <c r="P122" s="3" t="s">
        <v>887</v>
      </c>
    </row>
    <row r="123" spans="8:16" ht="29" hidden="1" x14ac:dyDescent="0.35">
      <c r="H123" s="13"/>
      <c r="I123" s="18">
        <f t="shared" si="1"/>
        <v>121</v>
      </c>
      <c r="J123" s="19" t="s">
        <v>852</v>
      </c>
      <c r="K123" s="20" t="s">
        <v>862</v>
      </c>
      <c r="L123" s="21" t="s">
        <v>523</v>
      </c>
      <c r="M123" s="21"/>
      <c r="N123" s="19" t="s">
        <v>587</v>
      </c>
      <c r="O123" s="21" t="s">
        <v>805</v>
      </c>
      <c r="P123" s="3" t="s">
        <v>887</v>
      </c>
    </row>
    <row r="124" spans="8:16" ht="29" hidden="1" x14ac:dyDescent="0.35">
      <c r="H124" s="13"/>
      <c r="I124" s="18">
        <f t="shared" si="1"/>
        <v>122</v>
      </c>
      <c r="J124" s="19" t="s">
        <v>853</v>
      </c>
      <c r="K124" s="20" t="s">
        <v>863</v>
      </c>
      <c r="L124" s="21" t="s">
        <v>522</v>
      </c>
      <c r="M124" s="21" t="s">
        <v>531</v>
      </c>
      <c r="N124" s="19" t="s">
        <v>588</v>
      </c>
      <c r="O124" s="21" t="s">
        <v>805</v>
      </c>
      <c r="P124" s="3" t="s">
        <v>887</v>
      </c>
    </row>
    <row r="125" spans="8:16" ht="29" hidden="1" x14ac:dyDescent="0.35">
      <c r="H125" s="13"/>
      <c r="I125" s="18">
        <f t="shared" si="1"/>
        <v>123</v>
      </c>
      <c r="J125" s="19" t="s">
        <v>53</v>
      </c>
      <c r="K125" s="20" t="s">
        <v>308</v>
      </c>
      <c r="L125" s="21" t="s">
        <v>522</v>
      </c>
      <c r="M125" s="21"/>
      <c r="N125" s="19" t="s">
        <v>589</v>
      </c>
      <c r="O125" s="21" t="s">
        <v>806</v>
      </c>
      <c r="P125" s="3" t="s">
        <v>887</v>
      </c>
    </row>
    <row r="126" spans="8:16" hidden="1" x14ac:dyDescent="0.35">
      <c r="H126" s="13"/>
      <c r="I126" s="18">
        <f t="shared" si="1"/>
        <v>124</v>
      </c>
      <c r="J126" s="19" t="s">
        <v>128</v>
      </c>
      <c r="K126" s="20" t="s">
        <v>383</v>
      </c>
      <c r="L126" s="21" t="s">
        <v>522</v>
      </c>
      <c r="M126" s="21" t="s">
        <v>531</v>
      </c>
      <c r="N126" s="19" t="s">
        <v>666</v>
      </c>
      <c r="O126" s="21" t="s">
        <v>805</v>
      </c>
      <c r="P126" s="3" t="s">
        <v>915</v>
      </c>
    </row>
    <row r="127" spans="8:16" hidden="1" x14ac:dyDescent="0.35">
      <c r="H127" s="13"/>
      <c r="I127" s="18">
        <f t="shared" si="1"/>
        <v>125</v>
      </c>
      <c r="J127" s="19" t="s">
        <v>14</v>
      </c>
      <c r="K127" s="20" t="s">
        <v>268</v>
      </c>
      <c r="L127" s="21" t="s">
        <v>522</v>
      </c>
      <c r="M127" s="21" t="s">
        <v>531</v>
      </c>
      <c r="N127" s="19" t="s">
        <v>548</v>
      </c>
      <c r="O127" s="21" t="s">
        <v>805</v>
      </c>
      <c r="P127" s="3" t="s">
        <v>879</v>
      </c>
    </row>
    <row r="128" spans="8:16" ht="29" hidden="1" x14ac:dyDescent="0.35">
      <c r="H128" s="13"/>
      <c r="I128" s="18">
        <f t="shared" si="1"/>
        <v>126</v>
      </c>
      <c r="J128" s="19" t="s">
        <v>15</v>
      </c>
      <c r="K128" s="20" t="s">
        <v>269</v>
      </c>
      <c r="L128" s="21" t="s">
        <v>523</v>
      </c>
      <c r="M128" s="21"/>
      <c r="N128" s="19" t="s">
        <v>549</v>
      </c>
      <c r="O128" s="21" t="s">
        <v>806</v>
      </c>
      <c r="P128" s="3" t="s">
        <v>879</v>
      </c>
    </row>
    <row r="129" spans="8:16" ht="29" hidden="1" x14ac:dyDescent="0.35">
      <c r="H129" s="13"/>
      <c r="I129" s="18">
        <f t="shared" si="1"/>
        <v>127</v>
      </c>
      <c r="J129" s="19" t="s">
        <v>16</v>
      </c>
      <c r="K129" s="20" t="s">
        <v>270</v>
      </c>
      <c r="L129" s="21" t="s">
        <v>523</v>
      </c>
      <c r="M129" s="21" t="s">
        <v>531</v>
      </c>
      <c r="N129" s="19" t="s">
        <v>550</v>
      </c>
      <c r="O129" s="21" t="s">
        <v>805</v>
      </c>
      <c r="P129" s="3" t="s">
        <v>879</v>
      </c>
    </row>
    <row r="130" spans="8:16" hidden="1" x14ac:dyDescent="0.35">
      <c r="H130" s="13"/>
      <c r="I130" s="18">
        <f t="shared" si="1"/>
        <v>128</v>
      </c>
      <c r="J130" s="19" t="s">
        <v>17</v>
      </c>
      <c r="K130" s="20" t="s">
        <v>271</v>
      </c>
      <c r="L130" s="21" t="s">
        <v>522</v>
      </c>
      <c r="M130" s="21" t="s">
        <v>531</v>
      </c>
      <c r="N130" s="19" t="s">
        <v>551</v>
      </c>
      <c r="O130" s="21" t="s">
        <v>807</v>
      </c>
      <c r="P130" s="3" t="s">
        <v>879</v>
      </c>
    </row>
    <row r="131" spans="8:16" hidden="1" x14ac:dyDescent="0.35">
      <c r="H131" s="13"/>
      <c r="I131" s="18">
        <f t="shared" si="1"/>
        <v>129</v>
      </c>
      <c r="J131" s="22" t="s">
        <v>18</v>
      </c>
      <c r="K131" s="23" t="s">
        <v>272</v>
      </c>
      <c r="L131" s="21" t="s">
        <v>524</v>
      </c>
      <c r="M131" s="24" t="s">
        <v>532</v>
      </c>
      <c r="N131" s="22" t="s">
        <v>552</v>
      </c>
      <c r="O131" s="24" t="s">
        <v>808</v>
      </c>
      <c r="P131" s="3" t="s">
        <v>879</v>
      </c>
    </row>
    <row r="132" spans="8:16" ht="29" hidden="1" x14ac:dyDescent="0.35">
      <c r="H132" s="13"/>
      <c r="I132" s="18">
        <f t="shared" si="1"/>
        <v>130</v>
      </c>
      <c r="J132" s="19" t="s">
        <v>19</v>
      </c>
      <c r="K132" s="20" t="s">
        <v>273</v>
      </c>
      <c r="L132" s="21" t="s">
        <v>522</v>
      </c>
      <c r="M132" s="21"/>
      <c r="N132" s="19" t="s">
        <v>553</v>
      </c>
      <c r="O132" s="21" t="s">
        <v>805</v>
      </c>
      <c r="P132" s="3" t="s">
        <v>879</v>
      </c>
    </row>
    <row r="133" spans="8:16" ht="43.5" x14ac:dyDescent="0.35">
      <c r="H133" s="13"/>
      <c r="I133" s="18">
        <f t="shared" si="1"/>
        <v>131</v>
      </c>
      <c r="J133" s="19" t="s">
        <v>30</v>
      </c>
      <c r="K133" s="20" t="s">
        <v>285</v>
      </c>
      <c r="L133" s="21" t="s">
        <v>522</v>
      </c>
      <c r="M133" s="21" t="s">
        <v>531</v>
      </c>
      <c r="N133" s="19" t="s">
        <v>566</v>
      </c>
      <c r="O133" s="21" t="s">
        <v>805</v>
      </c>
      <c r="P133" s="3" t="s">
        <v>958</v>
      </c>
    </row>
    <row r="134" spans="8:16" ht="29" x14ac:dyDescent="0.35">
      <c r="H134" s="13"/>
      <c r="I134" s="18">
        <f t="shared" ref="I134:I197" si="2">I133+1</f>
        <v>132</v>
      </c>
      <c r="J134" s="19" t="s">
        <v>129</v>
      </c>
      <c r="K134" s="20" t="s">
        <v>384</v>
      </c>
      <c r="L134" s="21" t="s">
        <v>525</v>
      </c>
      <c r="M134" s="21"/>
      <c r="N134" s="19" t="s">
        <v>667</v>
      </c>
      <c r="O134" s="21" t="s">
        <v>805</v>
      </c>
      <c r="P134" s="3" t="s">
        <v>916</v>
      </c>
    </row>
    <row r="135" spans="8:16" ht="39" hidden="1" x14ac:dyDescent="0.35">
      <c r="H135" s="13"/>
      <c r="I135" s="18">
        <f t="shared" si="2"/>
        <v>133</v>
      </c>
      <c r="J135" s="22" t="s">
        <v>124</v>
      </c>
      <c r="K135" s="23" t="s">
        <v>379</v>
      </c>
      <c r="L135" s="21" t="s">
        <v>524</v>
      </c>
      <c r="M135" s="24" t="s">
        <v>532</v>
      </c>
      <c r="N135" s="22" t="s">
        <v>662</v>
      </c>
      <c r="O135" s="24" t="s">
        <v>805</v>
      </c>
      <c r="P135" s="3" t="s">
        <v>912</v>
      </c>
    </row>
    <row r="136" spans="8:16" ht="43.5" hidden="1" x14ac:dyDescent="0.35">
      <c r="H136" s="13"/>
      <c r="I136" s="18">
        <f t="shared" si="2"/>
        <v>134</v>
      </c>
      <c r="J136" s="25" t="s">
        <v>140</v>
      </c>
      <c r="K136" s="20" t="s">
        <v>395</v>
      </c>
      <c r="L136" s="21" t="s">
        <v>524</v>
      </c>
      <c r="M136" s="21"/>
      <c r="N136" s="19" t="s">
        <v>678</v>
      </c>
      <c r="O136" s="21" t="s">
        <v>805</v>
      </c>
      <c r="P136" s="3" t="s">
        <v>912</v>
      </c>
    </row>
    <row r="137" spans="8:16" ht="39" hidden="1" x14ac:dyDescent="0.35">
      <c r="H137" s="13"/>
      <c r="I137" s="18">
        <f t="shared" si="2"/>
        <v>135</v>
      </c>
      <c r="J137" s="19" t="s">
        <v>141</v>
      </c>
      <c r="K137" s="20" t="s">
        <v>396</v>
      </c>
      <c r="L137" s="21" t="s">
        <v>522</v>
      </c>
      <c r="M137" s="21"/>
      <c r="N137" s="19" t="s">
        <v>679</v>
      </c>
      <c r="O137" s="21" t="s">
        <v>805</v>
      </c>
      <c r="P137" s="3" t="s">
        <v>912</v>
      </c>
    </row>
    <row r="138" spans="8:16" ht="43.5" hidden="1" x14ac:dyDescent="0.35">
      <c r="H138" s="13"/>
      <c r="I138" s="18">
        <f t="shared" si="2"/>
        <v>136</v>
      </c>
      <c r="J138" s="19" t="s">
        <v>142</v>
      </c>
      <c r="K138" s="20" t="s">
        <v>397</v>
      </c>
      <c r="L138" s="21" t="s">
        <v>522</v>
      </c>
      <c r="M138" s="21"/>
      <c r="N138" s="19" t="s">
        <v>680</v>
      </c>
      <c r="O138" s="21" t="s">
        <v>805</v>
      </c>
      <c r="P138" s="3" t="s">
        <v>912</v>
      </c>
    </row>
    <row r="139" spans="8:16" ht="29" hidden="1" x14ac:dyDescent="0.35">
      <c r="H139" s="13"/>
      <c r="I139" s="18">
        <f t="shared" si="2"/>
        <v>137</v>
      </c>
      <c r="J139" s="19" t="s">
        <v>245</v>
      </c>
      <c r="K139" s="20" t="s">
        <v>500</v>
      </c>
      <c r="L139" s="21" t="s">
        <v>524</v>
      </c>
      <c r="M139" s="21" t="s">
        <v>532</v>
      </c>
      <c r="N139" s="19" t="s">
        <v>784</v>
      </c>
      <c r="O139" s="21" t="s">
        <v>805</v>
      </c>
      <c r="P139" s="3" t="s">
        <v>949</v>
      </c>
    </row>
    <row r="140" spans="8:16" ht="29" hidden="1" x14ac:dyDescent="0.35">
      <c r="H140" s="13"/>
      <c r="I140" s="18">
        <f t="shared" si="2"/>
        <v>138</v>
      </c>
      <c r="J140" s="19" t="s">
        <v>246</v>
      </c>
      <c r="K140" s="20" t="s">
        <v>501</v>
      </c>
      <c r="L140" s="21" t="s">
        <v>529</v>
      </c>
      <c r="M140" s="21"/>
      <c r="N140" s="19" t="s">
        <v>785</v>
      </c>
      <c r="O140" s="21" t="s">
        <v>805</v>
      </c>
      <c r="P140" s="3" t="s">
        <v>949</v>
      </c>
    </row>
    <row r="141" spans="8:16" ht="29" hidden="1" x14ac:dyDescent="0.35">
      <c r="H141" s="13"/>
      <c r="I141" s="18">
        <f t="shared" si="2"/>
        <v>139</v>
      </c>
      <c r="J141" s="19" t="s">
        <v>247</v>
      </c>
      <c r="K141" s="20" t="s">
        <v>502</v>
      </c>
      <c r="L141" s="21" t="s">
        <v>525</v>
      </c>
      <c r="M141" s="21"/>
      <c r="N141" s="19" t="s">
        <v>786</v>
      </c>
      <c r="O141" s="21" t="s">
        <v>818</v>
      </c>
      <c r="P141" s="3" t="s">
        <v>949</v>
      </c>
    </row>
    <row r="142" spans="8:16" ht="29" hidden="1" x14ac:dyDescent="0.35">
      <c r="H142" s="13"/>
      <c r="I142" s="18">
        <f t="shared" si="2"/>
        <v>140</v>
      </c>
      <c r="J142" s="19" t="s">
        <v>146</v>
      </c>
      <c r="K142" s="20" t="s">
        <v>401</v>
      </c>
      <c r="L142" s="21" t="s">
        <v>523</v>
      </c>
      <c r="M142" s="21" t="s">
        <v>531</v>
      </c>
      <c r="N142" s="19" t="s">
        <v>684</v>
      </c>
      <c r="O142" s="21" t="s">
        <v>805</v>
      </c>
      <c r="P142" s="3" t="s">
        <v>918</v>
      </c>
    </row>
    <row r="143" spans="8:16" ht="29" hidden="1" x14ac:dyDescent="0.35">
      <c r="H143" s="13"/>
      <c r="I143" s="18">
        <f t="shared" si="2"/>
        <v>141</v>
      </c>
      <c r="J143" s="19" t="s">
        <v>147</v>
      </c>
      <c r="K143" s="20" t="s">
        <v>402</v>
      </c>
      <c r="L143" s="21" t="s">
        <v>525</v>
      </c>
      <c r="M143" s="21"/>
      <c r="N143" s="19" t="s">
        <v>685</v>
      </c>
      <c r="O143" s="21" t="s">
        <v>806</v>
      </c>
      <c r="P143" s="3" t="s">
        <v>918</v>
      </c>
    </row>
    <row r="144" spans="8:16" ht="29" hidden="1" x14ac:dyDescent="0.35">
      <c r="H144" s="13"/>
      <c r="I144" s="18">
        <f t="shared" si="2"/>
        <v>142</v>
      </c>
      <c r="J144" s="19" t="s">
        <v>148</v>
      </c>
      <c r="K144" s="20" t="s">
        <v>403</v>
      </c>
      <c r="L144" s="21" t="s">
        <v>524</v>
      </c>
      <c r="M144" s="21"/>
      <c r="N144" s="19" t="s">
        <v>686</v>
      </c>
      <c r="O144" s="21" t="s">
        <v>805</v>
      </c>
      <c r="P144" s="3" t="s">
        <v>918</v>
      </c>
    </row>
    <row r="145" spans="8:16" ht="29" hidden="1" x14ac:dyDescent="0.35">
      <c r="H145" s="13"/>
      <c r="I145" s="18">
        <f t="shared" si="2"/>
        <v>143</v>
      </c>
      <c r="J145" s="22" t="s">
        <v>172</v>
      </c>
      <c r="K145" s="23" t="s">
        <v>427</v>
      </c>
      <c r="L145" s="21" t="s">
        <v>522</v>
      </c>
      <c r="M145" s="24" t="s">
        <v>531</v>
      </c>
      <c r="N145" s="22" t="s">
        <v>710</v>
      </c>
      <c r="O145" s="24" t="s">
        <v>832</v>
      </c>
      <c r="P145" s="3" t="s">
        <v>926</v>
      </c>
    </row>
    <row r="146" spans="8:16" ht="29" hidden="1" x14ac:dyDescent="0.35">
      <c r="H146" s="13"/>
      <c r="I146" s="18">
        <f t="shared" si="2"/>
        <v>144</v>
      </c>
      <c r="J146" s="19" t="s">
        <v>173</v>
      </c>
      <c r="K146" s="20" t="s">
        <v>428</v>
      </c>
      <c r="L146" s="21" t="s">
        <v>522</v>
      </c>
      <c r="M146" s="21"/>
      <c r="N146" s="19" t="s">
        <v>711</v>
      </c>
      <c r="O146" s="21" t="s">
        <v>814</v>
      </c>
      <c r="P146" s="3" t="s">
        <v>926</v>
      </c>
    </row>
    <row r="147" spans="8:16" ht="29" hidden="1" x14ac:dyDescent="0.35">
      <c r="H147" s="13"/>
      <c r="I147" s="18">
        <f t="shared" si="2"/>
        <v>145</v>
      </c>
      <c r="J147" s="19" t="s">
        <v>174</v>
      </c>
      <c r="K147" s="20" t="s">
        <v>429</v>
      </c>
      <c r="L147" s="21" t="s">
        <v>529</v>
      </c>
      <c r="M147" s="21"/>
      <c r="N147" s="19" t="s">
        <v>712</v>
      </c>
      <c r="O147" s="21" t="s">
        <v>814</v>
      </c>
      <c r="P147" s="3" t="s">
        <v>926</v>
      </c>
    </row>
    <row r="148" spans="8:16" ht="29" hidden="1" x14ac:dyDescent="0.35">
      <c r="H148" s="13"/>
      <c r="I148" s="18">
        <f t="shared" si="2"/>
        <v>146</v>
      </c>
      <c r="J148" s="19" t="s">
        <v>185</v>
      </c>
      <c r="K148" s="20" t="s">
        <v>440</v>
      </c>
      <c r="L148" s="21" t="s">
        <v>523</v>
      </c>
      <c r="M148" s="21" t="s">
        <v>531</v>
      </c>
      <c r="N148" s="19" t="s">
        <v>723</v>
      </c>
      <c r="O148" s="21" t="s">
        <v>817</v>
      </c>
      <c r="P148" s="3" t="s">
        <v>930</v>
      </c>
    </row>
    <row r="149" spans="8:16" ht="29" hidden="1" x14ac:dyDescent="0.35">
      <c r="H149" s="13"/>
      <c r="I149" s="18">
        <f t="shared" si="2"/>
        <v>147</v>
      </c>
      <c r="J149" s="19" t="s">
        <v>186</v>
      </c>
      <c r="K149" s="20" t="s">
        <v>441</v>
      </c>
      <c r="L149" s="21" t="s">
        <v>522</v>
      </c>
      <c r="M149" s="21"/>
      <c r="N149" s="19" t="s">
        <v>724</v>
      </c>
      <c r="O149" s="21" t="s">
        <v>817</v>
      </c>
      <c r="P149" s="3" t="s">
        <v>930</v>
      </c>
    </row>
    <row r="150" spans="8:16" ht="29" hidden="1" x14ac:dyDescent="0.35">
      <c r="H150" s="13"/>
      <c r="I150" s="18">
        <f t="shared" si="2"/>
        <v>148</v>
      </c>
      <c r="J150" s="19" t="s">
        <v>187</v>
      </c>
      <c r="K150" s="20" t="s">
        <v>442</v>
      </c>
      <c r="L150" s="21" t="s">
        <v>525</v>
      </c>
      <c r="M150" s="21"/>
      <c r="N150" s="19" t="s">
        <v>725</v>
      </c>
      <c r="O150" s="21" t="s">
        <v>806</v>
      </c>
      <c r="P150" s="3" t="s">
        <v>930</v>
      </c>
    </row>
    <row r="151" spans="8:16" ht="29" hidden="1" x14ac:dyDescent="0.35">
      <c r="H151" s="13"/>
      <c r="I151" s="18">
        <f t="shared" si="2"/>
        <v>149</v>
      </c>
      <c r="J151" s="19" t="s">
        <v>204</v>
      </c>
      <c r="K151" s="20" t="s">
        <v>459</v>
      </c>
      <c r="L151" s="21" t="s">
        <v>522</v>
      </c>
      <c r="M151" s="21" t="s">
        <v>531</v>
      </c>
      <c r="N151" s="19" t="s">
        <v>743</v>
      </c>
      <c r="O151" s="21" t="s">
        <v>818</v>
      </c>
      <c r="P151" s="3" t="s">
        <v>936</v>
      </c>
    </row>
    <row r="152" spans="8:16" ht="29" hidden="1" x14ac:dyDescent="0.35">
      <c r="H152" s="13"/>
      <c r="I152" s="18">
        <f t="shared" si="2"/>
        <v>150</v>
      </c>
      <c r="J152" s="19" t="s">
        <v>205</v>
      </c>
      <c r="K152" s="20" t="s">
        <v>460</v>
      </c>
      <c r="L152" s="21" t="s">
        <v>524</v>
      </c>
      <c r="M152" s="21" t="s">
        <v>531</v>
      </c>
      <c r="N152" s="19" t="s">
        <v>744</v>
      </c>
      <c r="O152" s="21" t="s">
        <v>818</v>
      </c>
      <c r="P152" s="3" t="s">
        <v>936</v>
      </c>
    </row>
    <row r="153" spans="8:16" ht="29" hidden="1" x14ac:dyDescent="0.35">
      <c r="H153" s="13"/>
      <c r="I153" s="18">
        <f t="shared" si="2"/>
        <v>151</v>
      </c>
      <c r="J153" s="19" t="s">
        <v>206</v>
      </c>
      <c r="K153" s="20" t="s">
        <v>461</v>
      </c>
      <c r="L153" s="21" t="s">
        <v>523</v>
      </c>
      <c r="M153" s="21"/>
      <c r="N153" s="19" t="s">
        <v>745</v>
      </c>
      <c r="O153" s="21" t="s">
        <v>806</v>
      </c>
      <c r="P153" s="3" t="s">
        <v>936</v>
      </c>
    </row>
    <row r="154" spans="8:16" ht="29" hidden="1" x14ac:dyDescent="0.35">
      <c r="H154" s="13"/>
      <c r="I154" s="18">
        <f t="shared" si="2"/>
        <v>152</v>
      </c>
      <c r="J154" s="19" t="s">
        <v>152</v>
      </c>
      <c r="K154" s="20" t="s">
        <v>407</v>
      </c>
      <c r="L154" s="21" t="s">
        <v>523</v>
      </c>
      <c r="M154" s="21" t="s">
        <v>531</v>
      </c>
      <c r="N154" s="19" t="s">
        <v>690</v>
      </c>
      <c r="O154" s="21" t="s">
        <v>805</v>
      </c>
      <c r="P154" s="3" t="s">
        <v>920</v>
      </c>
    </row>
    <row r="155" spans="8:16" ht="29" hidden="1" x14ac:dyDescent="0.35">
      <c r="H155" s="13"/>
      <c r="I155" s="18">
        <f t="shared" si="2"/>
        <v>153</v>
      </c>
      <c r="J155" s="19" t="s">
        <v>153</v>
      </c>
      <c r="K155" s="20" t="s">
        <v>408</v>
      </c>
      <c r="L155" s="21" t="s">
        <v>522</v>
      </c>
      <c r="M155" s="21"/>
      <c r="N155" s="19" t="s">
        <v>691</v>
      </c>
      <c r="O155" s="21" t="s">
        <v>834</v>
      </c>
      <c r="P155" s="3" t="s">
        <v>920</v>
      </c>
    </row>
    <row r="156" spans="8:16" ht="29" hidden="1" x14ac:dyDescent="0.35">
      <c r="H156" s="13"/>
      <c r="I156" s="18">
        <f t="shared" si="2"/>
        <v>154</v>
      </c>
      <c r="J156" s="19" t="s">
        <v>154</v>
      </c>
      <c r="K156" s="20" t="s">
        <v>409</v>
      </c>
      <c r="L156" s="21" t="s">
        <v>523</v>
      </c>
      <c r="M156" s="21"/>
      <c r="N156" s="19" t="s">
        <v>692</v>
      </c>
      <c r="O156" s="21" t="s">
        <v>834</v>
      </c>
      <c r="P156" s="3" t="s">
        <v>920</v>
      </c>
    </row>
    <row r="157" spans="8:16" ht="29" hidden="1" x14ac:dyDescent="0.35">
      <c r="H157" s="13"/>
      <c r="I157" s="18">
        <f t="shared" si="2"/>
        <v>155</v>
      </c>
      <c r="J157" s="22" t="s">
        <v>254</v>
      </c>
      <c r="K157" s="23" t="s">
        <v>509</v>
      </c>
      <c r="L157" s="21" t="s">
        <v>522</v>
      </c>
      <c r="M157" s="24" t="s">
        <v>531</v>
      </c>
      <c r="N157" s="22" t="s">
        <v>793</v>
      </c>
      <c r="O157" s="24" t="s">
        <v>849</v>
      </c>
      <c r="P157" s="3" t="s">
        <v>952</v>
      </c>
    </row>
    <row r="158" spans="8:16" ht="29" hidden="1" x14ac:dyDescent="0.35">
      <c r="H158" s="13"/>
      <c r="I158" s="18">
        <f t="shared" si="2"/>
        <v>156</v>
      </c>
      <c r="J158" s="19" t="s">
        <v>255</v>
      </c>
      <c r="K158" s="20" t="s">
        <v>510</v>
      </c>
      <c r="L158" s="21" t="s">
        <v>522</v>
      </c>
      <c r="M158" s="21"/>
      <c r="N158" s="19" t="s">
        <v>794</v>
      </c>
      <c r="O158" s="21" t="s">
        <v>819</v>
      </c>
      <c r="P158" s="3" t="s">
        <v>952</v>
      </c>
    </row>
    <row r="159" spans="8:16" ht="29" hidden="1" x14ac:dyDescent="0.35">
      <c r="H159" s="13"/>
      <c r="I159" s="18">
        <f t="shared" si="2"/>
        <v>157</v>
      </c>
      <c r="J159" s="19" t="s">
        <v>256</v>
      </c>
      <c r="K159" s="20" t="s">
        <v>511</v>
      </c>
      <c r="L159" s="21" t="s">
        <v>524</v>
      </c>
      <c r="M159" s="21"/>
      <c r="N159" s="19" t="s">
        <v>795</v>
      </c>
      <c r="O159" s="21" t="s">
        <v>818</v>
      </c>
      <c r="P159" s="3" t="s">
        <v>952</v>
      </c>
    </row>
    <row r="160" spans="8:16" ht="29" hidden="1" x14ac:dyDescent="0.35">
      <c r="H160" s="13"/>
      <c r="I160" s="18">
        <f t="shared" si="2"/>
        <v>158</v>
      </c>
      <c r="J160" s="19" t="s">
        <v>182</v>
      </c>
      <c r="K160" s="20" t="s">
        <v>437</v>
      </c>
      <c r="L160" s="21" t="s">
        <v>523</v>
      </c>
      <c r="M160" s="21" t="s">
        <v>531</v>
      </c>
      <c r="N160" s="19" t="s">
        <v>720</v>
      </c>
      <c r="O160" s="21" t="s">
        <v>814</v>
      </c>
      <c r="P160" s="3" t="s">
        <v>929</v>
      </c>
    </row>
    <row r="161" spans="8:16" ht="29" hidden="1" x14ac:dyDescent="0.35">
      <c r="H161" s="13"/>
      <c r="I161" s="18">
        <f t="shared" si="2"/>
        <v>159</v>
      </c>
      <c r="J161" s="19" t="s">
        <v>183</v>
      </c>
      <c r="K161" s="20" t="s">
        <v>438</v>
      </c>
      <c r="L161" s="21" t="s">
        <v>529</v>
      </c>
      <c r="M161" s="21"/>
      <c r="N161" s="19" t="s">
        <v>721</v>
      </c>
      <c r="O161" s="21" t="s">
        <v>808</v>
      </c>
      <c r="P161" s="3" t="s">
        <v>929</v>
      </c>
    </row>
    <row r="162" spans="8:16" ht="29" hidden="1" x14ac:dyDescent="0.35">
      <c r="H162" s="13"/>
      <c r="I162" s="18">
        <f t="shared" si="2"/>
        <v>160</v>
      </c>
      <c r="J162" s="19" t="s">
        <v>184</v>
      </c>
      <c r="K162" s="20" t="s">
        <v>439</v>
      </c>
      <c r="L162" s="21" t="s">
        <v>522</v>
      </c>
      <c r="M162" s="21"/>
      <c r="N162" s="19" t="s">
        <v>722</v>
      </c>
      <c r="O162" s="21" t="s">
        <v>828</v>
      </c>
      <c r="P162" s="3" t="s">
        <v>929</v>
      </c>
    </row>
    <row r="163" spans="8:16" ht="29" hidden="1" x14ac:dyDescent="0.35">
      <c r="H163" s="13"/>
      <c r="I163" s="18">
        <f t="shared" si="2"/>
        <v>161</v>
      </c>
      <c r="J163" s="22" t="s">
        <v>220</v>
      </c>
      <c r="K163" s="23" t="s">
        <v>475</v>
      </c>
      <c r="L163" s="21" t="s">
        <v>525</v>
      </c>
      <c r="M163" s="24" t="s">
        <v>533</v>
      </c>
      <c r="N163" s="22" t="s">
        <v>759</v>
      </c>
      <c r="O163" s="24" t="s">
        <v>806</v>
      </c>
      <c r="P163" s="3" t="s">
        <v>941</v>
      </c>
    </row>
    <row r="164" spans="8:16" ht="29" hidden="1" x14ac:dyDescent="0.35">
      <c r="H164" s="13"/>
      <c r="I164" s="18">
        <f t="shared" si="2"/>
        <v>162</v>
      </c>
      <c r="J164" s="19" t="s">
        <v>221</v>
      </c>
      <c r="K164" s="20" t="s">
        <v>476</v>
      </c>
      <c r="L164" s="21" t="s">
        <v>523</v>
      </c>
      <c r="M164" s="21" t="s">
        <v>531</v>
      </c>
      <c r="N164" s="19" t="s">
        <v>760</v>
      </c>
      <c r="O164" s="21" t="s">
        <v>806</v>
      </c>
      <c r="P164" s="3" t="s">
        <v>941</v>
      </c>
    </row>
    <row r="165" spans="8:16" ht="29" hidden="1" x14ac:dyDescent="0.35">
      <c r="H165" s="13"/>
      <c r="I165" s="18">
        <f t="shared" si="2"/>
        <v>163</v>
      </c>
      <c r="J165" s="19" t="s">
        <v>222</v>
      </c>
      <c r="K165" s="20" t="s">
        <v>477</v>
      </c>
      <c r="L165" s="21" t="s">
        <v>522</v>
      </c>
      <c r="M165" s="21" t="s">
        <v>534</v>
      </c>
      <c r="N165" s="19" t="s">
        <v>761</v>
      </c>
      <c r="O165" s="21" t="s">
        <v>819</v>
      </c>
      <c r="P165" s="3" t="s">
        <v>941</v>
      </c>
    </row>
    <row r="166" spans="8:16" ht="29" hidden="1" x14ac:dyDescent="0.35">
      <c r="H166" s="13"/>
      <c r="I166" s="18">
        <f t="shared" si="2"/>
        <v>164</v>
      </c>
      <c r="J166" s="19" t="s">
        <v>242</v>
      </c>
      <c r="K166" s="20" t="s">
        <v>497</v>
      </c>
      <c r="L166" s="21" t="s">
        <v>522</v>
      </c>
      <c r="M166" s="21" t="s">
        <v>531</v>
      </c>
      <c r="N166" s="19" t="s">
        <v>781</v>
      </c>
      <c r="O166" s="21" t="s">
        <v>805</v>
      </c>
      <c r="P166" s="3" t="s">
        <v>948</v>
      </c>
    </row>
    <row r="167" spans="8:16" ht="29" hidden="1" x14ac:dyDescent="0.35">
      <c r="H167" s="13"/>
      <c r="I167" s="18">
        <f t="shared" si="2"/>
        <v>165</v>
      </c>
      <c r="J167" s="19" t="s">
        <v>243</v>
      </c>
      <c r="K167" s="20" t="s">
        <v>498</v>
      </c>
      <c r="L167" s="21" t="s">
        <v>522</v>
      </c>
      <c r="M167" s="21" t="s">
        <v>531</v>
      </c>
      <c r="N167" s="19" t="s">
        <v>782</v>
      </c>
      <c r="O167" s="21" t="s">
        <v>834</v>
      </c>
      <c r="P167" s="3" t="s">
        <v>948</v>
      </c>
    </row>
    <row r="168" spans="8:16" ht="29" hidden="1" x14ac:dyDescent="0.35">
      <c r="H168" s="13"/>
      <c r="I168" s="18">
        <f t="shared" si="2"/>
        <v>166</v>
      </c>
      <c r="J168" s="19" t="s">
        <v>244</v>
      </c>
      <c r="K168" s="20" t="s">
        <v>499</v>
      </c>
      <c r="L168" s="21" t="s">
        <v>522</v>
      </c>
      <c r="M168" s="21"/>
      <c r="N168" s="19" t="s">
        <v>783</v>
      </c>
      <c r="O168" s="21" t="s">
        <v>834</v>
      </c>
      <c r="P168" s="3" t="s">
        <v>948</v>
      </c>
    </row>
    <row r="169" spans="8:16" ht="29" hidden="1" x14ac:dyDescent="0.35">
      <c r="H169" s="13"/>
      <c r="I169" s="18">
        <f t="shared" si="2"/>
        <v>167</v>
      </c>
      <c r="J169" s="22" t="s">
        <v>175</v>
      </c>
      <c r="K169" s="23" t="s">
        <v>430</v>
      </c>
      <c r="L169" s="21" t="s">
        <v>523</v>
      </c>
      <c r="M169" s="24" t="s">
        <v>531</v>
      </c>
      <c r="N169" s="22" t="s">
        <v>713</v>
      </c>
      <c r="O169" s="24" t="s">
        <v>821</v>
      </c>
      <c r="P169" s="3" t="s">
        <v>927</v>
      </c>
    </row>
    <row r="170" spans="8:16" ht="29" hidden="1" x14ac:dyDescent="0.35">
      <c r="H170" s="13"/>
      <c r="I170" s="18">
        <f t="shared" si="2"/>
        <v>168</v>
      </c>
      <c r="J170" s="19" t="s">
        <v>176</v>
      </c>
      <c r="K170" s="20" t="s">
        <v>431</v>
      </c>
      <c r="L170" s="21" t="s">
        <v>523</v>
      </c>
      <c r="M170" s="21" t="s">
        <v>531</v>
      </c>
      <c r="N170" s="19" t="s">
        <v>714</v>
      </c>
      <c r="O170" s="21" t="s">
        <v>806</v>
      </c>
      <c r="P170" s="3" t="s">
        <v>927</v>
      </c>
    </row>
    <row r="171" spans="8:16" ht="29" hidden="1" x14ac:dyDescent="0.35">
      <c r="H171" s="13"/>
      <c r="I171" s="18">
        <f t="shared" si="2"/>
        <v>169</v>
      </c>
      <c r="J171" s="19" t="s">
        <v>177</v>
      </c>
      <c r="K171" s="20" t="s">
        <v>432</v>
      </c>
      <c r="L171" s="21" t="s">
        <v>522</v>
      </c>
      <c r="M171" s="21"/>
      <c r="N171" s="19" t="s">
        <v>715</v>
      </c>
      <c r="O171" s="21" t="s">
        <v>834</v>
      </c>
      <c r="P171" s="3" t="s">
        <v>927</v>
      </c>
    </row>
    <row r="172" spans="8:16" hidden="1" x14ac:dyDescent="0.35">
      <c r="I172" s="18">
        <f t="shared" si="2"/>
        <v>170</v>
      </c>
      <c r="J172" s="19" t="s">
        <v>266</v>
      </c>
      <c r="K172" s="20" t="s">
        <v>521</v>
      </c>
      <c r="L172" s="21" t="s">
        <v>526</v>
      </c>
      <c r="M172" s="21" t="s">
        <v>533</v>
      </c>
      <c r="N172" s="19" t="s">
        <v>873</v>
      </c>
      <c r="O172" s="21" t="s">
        <v>878</v>
      </c>
      <c r="P172" s="3" t="s">
        <v>927</v>
      </c>
    </row>
    <row r="173" spans="8:16" ht="29" hidden="1" x14ac:dyDescent="0.35">
      <c r="H173" s="13"/>
      <c r="I173" s="18">
        <f t="shared" si="2"/>
        <v>171</v>
      </c>
      <c r="J173" s="19" t="s">
        <v>166</v>
      </c>
      <c r="K173" s="20" t="s">
        <v>421</v>
      </c>
      <c r="L173" s="21" t="s">
        <v>524</v>
      </c>
      <c r="M173" s="21" t="s">
        <v>532</v>
      </c>
      <c r="N173" s="19" t="s">
        <v>704</v>
      </c>
      <c r="O173" s="21" t="s">
        <v>805</v>
      </c>
      <c r="P173" s="3" t="s">
        <v>924</v>
      </c>
    </row>
    <row r="174" spans="8:16" ht="29" hidden="1" x14ac:dyDescent="0.35">
      <c r="H174" s="13"/>
      <c r="I174" s="18">
        <f t="shared" si="2"/>
        <v>172</v>
      </c>
      <c r="J174" s="19" t="s">
        <v>167</v>
      </c>
      <c r="K174" s="20" t="s">
        <v>422</v>
      </c>
      <c r="L174" s="21" t="s">
        <v>525</v>
      </c>
      <c r="M174" s="21"/>
      <c r="N174" s="19" t="s">
        <v>705</v>
      </c>
      <c r="O174" s="21" t="s">
        <v>834</v>
      </c>
      <c r="P174" s="3" t="s">
        <v>924</v>
      </c>
    </row>
    <row r="175" spans="8:16" ht="29" hidden="1" x14ac:dyDescent="0.35">
      <c r="H175" s="13"/>
      <c r="I175" s="18">
        <f t="shared" si="2"/>
        <v>173</v>
      </c>
      <c r="J175" s="19" t="s">
        <v>168</v>
      </c>
      <c r="K175" s="20" t="s">
        <v>423</v>
      </c>
      <c r="L175" s="21" t="s">
        <v>529</v>
      </c>
      <c r="M175" s="21"/>
      <c r="N175" s="19" t="s">
        <v>706</v>
      </c>
      <c r="O175" s="21" t="s">
        <v>806</v>
      </c>
      <c r="P175" s="3" t="s">
        <v>924</v>
      </c>
    </row>
    <row r="176" spans="8:16" ht="29" hidden="1" x14ac:dyDescent="0.35">
      <c r="H176" s="13"/>
      <c r="I176" s="18">
        <f t="shared" si="2"/>
        <v>174</v>
      </c>
      <c r="J176" s="19" t="s">
        <v>248</v>
      </c>
      <c r="K176" s="20" t="s">
        <v>503</v>
      </c>
      <c r="L176" s="21" t="s">
        <v>522</v>
      </c>
      <c r="M176" s="21" t="s">
        <v>531</v>
      </c>
      <c r="N176" s="19" t="s">
        <v>787</v>
      </c>
      <c r="O176" s="21" t="s">
        <v>806</v>
      </c>
      <c r="P176" s="3" t="s">
        <v>950</v>
      </c>
    </row>
    <row r="177" spans="8:16" ht="29" hidden="1" x14ac:dyDescent="0.35">
      <c r="H177" s="13"/>
      <c r="I177" s="18">
        <f t="shared" si="2"/>
        <v>175</v>
      </c>
      <c r="J177" s="19" t="s">
        <v>249</v>
      </c>
      <c r="K177" s="20" t="s">
        <v>504</v>
      </c>
      <c r="L177" s="21" t="s">
        <v>523</v>
      </c>
      <c r="M177" s="21" t="s">
        <v>531</v>
      </c>
      <c r="N177" s="19" t="s">
        <v>788</v>
      </c>
      <c r="O177" s="21" t="s">
        <v>814</v>
      </c>
      <c r="P177" s="3" t="s">
        <v>950</v>
      </c>
    </row>
    <row r="178" spans="8:16" ht="29" hidden="1" x14ac:dyDescent="0.35">
      <c r="H178" s="13"/>
      <c r="I178" s="18">
        <f t="shared" si="2"/>
        <v>176</v>
      </c>
      <c r="J178" s="19" t="s">
        <v>250</v>
      </c>
      <c r="K178" s="20" t="s">
        <v>505</v>
      </c>
      <c r="L178" s="21" t="s">
        <v>529</v>
      </c>
      <c r="M178" s="21"/>
      <c r="N178" s="19" t="s">
        <v>789</v>
      </c>
      <c r="O178" s="21" t="s">
        <v>806</v>
      </c>
      <c r="P178" s="3" t="s">
        <v>950</v>
      </c>
    </row>
    <row r="179" spans="8:16" ht="29" hidden="1" x14ac:dyDescent="0.35">
      <c r="H179" s="13"/>
      <c r="I179" s="18">
        <f t="shared" si="2"/>
        <v>177</v>
      </c>
      <c r="J179" s="19" t="s">
        <v>217</v>
      </c>
      <c r="K179" s="20" t="s">
        <v>472</v>
      </c>
      <c r="L179" s="21" t="s">
        <v>523</v>
      </c>
      <c r="M179" s="21" t="s">
        <v>531</v>
      </c>
      <c r="N179" s="19" t="s">
        <v>756</v>
      </c>
      <c r="O179" s="21" t="s">
        <v>813</v>
      </c>
      <c r="P179" s="3" t="s">
        <v>940</v>
      </c>
    </row>
    <row r="180" spans="8:16" ht="29" hidden="1" x14ac:dyDescent="0.35">
      <c r="H180" s="13"/>
      <c r="I180" s="18">
        <f t="shared" si="2"/>
        <v>178</v>
      </c>
      <c r="J180" s="19" t="s">
        <v>218</v>
      </c>
      <c r="K180" s="20" t="s">
        <v>473</v>
      </c>
      <c r="L180" s="21" t="s">
        <v>523</v>
      </c>
      <c r="M180" s="21" t="s">
        <v>531</v>
      </c>
      <c r="N180" s="19" t="s">
        <v>757</v>
      </c>
      <c r="O180" s="21" t="s">
        <v>820</v>
      </c>
      <c r="P180" s="3" t="s">
        <v>940</v>
      </c>
    </row>
    <row r="181" spans="8:16" ht="29" hidden="1" x14ac:dyDescent="0.35">
      <c r="H181" s="13"/>
      <c r="I181" s="18">
        <f t="shared" si="2"/>
        <v>179</v>
      </c>
      <c r="J181" s="19" t="s">
        <v>219</v>
      </c>
      <c r="K181" s="20" t="s">
        <v>474</v>
      </c>
      <c r="L181" s="21" t="s">
        <v>522</v>
      </c>
      <c r="M181" s="21"/>
      <c r="N181" s="19" t="s">
        <v>758</v>
      </c>
      <c r="O181" s="21" t="s">
        <v>820</v>
      </c>
      <c r="P181" s="3" t="s">
        <v>940</v>
      </c>
    </row>
    <row r="182" spans="8:16" ht="29" hidden="1" x14ac:dyDescent="0.35">
      <c r="H182" s="13"/>
      <c r="I182" s="18">
        <f t="shared" si="2"/>
        <v>180</v>
      </c>
      <c r="J182" s="19" t="s">
        <v>236</v>
      </c>
      <c r="K182" s="20" t="s">
        <v>491</v>
      </c>
      <c r="L182" s="21" t="s">
        <v>522</v>
      </c>
      <c r="M182" s="21" t="s">
        <v>531</v>
      </c>
      <c r="N182" s="19" t="s">
        <v>775</v>
      </c>
      <c r="O182" s="21" t="s">
        <v>826</v>
      </c>
      <c r="P182" s="3" t="s">
        <v>946</v>
      </c>
    </row>
    <row r="183" spans="8:16" ht="29" hidden="1" x14ac:dyDescent="0.35">
      <c r="H183" s="13"/>
      <c r="I183" s="18">
        <f t="shared" si="2"/>
        <v>181</v>
      </c>
      <c r="J183" s="19" t="s">
        <v>237</v>
      </c>
      <c r="K183" s="20" t="s">
        <v>492</v>
      </c>
      <c r="L183" s="21" t="s">
        <v>522</v>
      </c>
      <c r="M183" s="21"/>
      <c r="N183" s="19" t="s">
        <v>776</v>
      </c>
      <c r="O183" s="21" t="s">
        <v>826</v>
      </c>
      <c r="P183" s="3" t="s">
        <v>946</v>
      </c>
    </row>
    <row r="184" spans="8:16" ht="29" hidden="1" x14ac:dyDescent="0.35">
      <c r="H184" s="13"/>
      <c r="I184" s="18">
        <f t="shared" si="2"/>
        <v>182</v>
      </c>
      <c r="J184" s="19" t="s">
        <v>238</v>
      </c>
      <c r="K184" s="20" t="s">
        <v>493</v>
      </c>
      <c r="L184" s="21" t="s">
        <v>529</v>
      </c>
      <c r="M184" s="21"/>
      <c r="N184" s="19" t="s">
        <v>777</v>
      </c>
      <c r="O184" s="21" t="s">
        <v>806</v>
      </c>
      <c r="P184" s="3" t="s">
        <v>946</v>
      </c>
    </row>
    <row r="185" spans="8:16" hidden="1" x14ac:dyDescent="0.35">
      <c r="H185" s="13"/>
      <c r="I185" s="18">
        <f t="shared" si="2"/>
        <v>183</v>
      </c>
      <c r="J185" s="22" t="s">
        <v>226</v>
      </c>
      <c r="K185" s="23" t="s">
        <v>481</v>
      </c>
      <c r="L185" s="21" t="s">
        <v>522</v>
      </c>
      <c r="M185" s="24" t="s">
        <v>533</v>
      </c>
      <c r="N185" s="22" t="s">
        <v>765</v>
      </c>
      <c r="O185" s="24" t="s">
        <v>805</v>
      </c>
      <c r="P185" s="3" t="s">
        <v>943</v>
      </c>
    </row>
    <row r="186" spans="8:16" ht="29" hidden="1" x14ac:dyDescent="0.35">
      <c r="H186" s="13"/>
      <c r="I186" s="18">
        <f t="shared" si="2"/>
        <v>184</v>
      </c>
      <c r="J186" s="19" t="s">
        <v>227</v>
      </c>
      <c r="K186" s="20" t="s">
        <v>482</v>
      </c>
      <c r="L186" s="21" t="s">
        <v>522</v>
      </c>
      <c r="M186" s="21" t="s">
        <v>531</v>
      </c>
      <c r="N186" s="19" t="s">
        <v>766</v>
      </c>
      <c r="O186" s="21" t="s">
        <v>839</v>
      </c>
      <c r="P186" s="3" t="s">
        <v>943</v>
      </c>
    </row>
    <row r="187" spans="8:16" ht="29" hidden="1" x14ac:dyDescent="0.35">
      <c r="H187" s="13"/>
      <c r="I187" s="18">
        <f t="shared" si="2"/>
        <v>185</v>
      </c>
      <c r="J187" s="19" t="s">
        <v>228</v>
      </c>
      <c r="K187" s="20" t="s">
        <v>483</v>
      </c>
      <c r="L187" s="21" t="s">
        <v>522</v>
      </c>
      <c r="M187" s="21" t="s">
        <v>531</v>
      </c>
      <c r="N187" s="19" t="s">
        <v>767</v>
      </c>
      <c r="O187" s="21" t="s">
        <v>820</v>
      </c>
      <c r="P187" s="3" t="s">
        <v>943</v>
      </c>
    </row>
    <row r="188" spans="8:16" ht="29" hidden="1" x14ac:dyDescent="0.35">
      <c r="H188" s="13"/>
      <c r="I188" s="18">
        <f t="shared" si="2"/>
        <v>186</v>
      </c>
      <c r="J188" s="19" t="s">
        <v>229</v>
      </c>
      <c r="K188" s="20" t="s">
        <v>484</v>
      </c>
      <c r="L188" s="21" t="s">
        <v>522</v>
      </c>
      <c r="M188" s="21"/>
      <c r="N188" s="19" t="s">
        <v>768</v>
      </c>
      <c r="O188" s="21" t="s">
        <v>848</v>
      </c>
      <c r="P188" s="3" t="s">
        <v>943</v>
      </c>
    </row>
    <row r="189" spans="8:16" ht="29" hidden="1" x14ac:dyDescent="0.35">
      <c r="H189" s="13"/>
      <c r="I189" s="18">
        <f t="shared" si="2"/>
        <v>187</v>
      </c>
      <c r="J189" s="19" t="s">
        <v>125</v>
      </c>
      <c r="K189" s="20" t="s">
        <v>380</v>
      </c>
      <c r="L189" s="21" t="s">
        <v>522</v>
      </c>
      <c r="M189" s="21"/>
      <c r="N189" s="19" t="s">
        <v>663</v>
      </c>
      <c r="O189" s="21" t="s">
        <v>828</v>
      </c>
      <c r="P189" s="3" t="s">
        <v>913</v>
      </c>
    </row>
    <row r="190" spans="8:16" ht="29" hidden="1" x14ac:dyDescent="0.35">
      <c r="H190" s="13"/>
      <c r="I190" s="18">
        <f t="shared" si="2"/>
        <v>188</v>
      </c>
      <c r="J190" s="19" t="s">
        <v>126</v>
      </c>
      <c r="K190" s="20" t="s">
        <v>381</v>
      </c>
      <c r="L190" s="21" t="s">
        <v>524</v>
      </c>
      <c r="M190" s="21" t="s">
        <v>532</v>
      </c>
      <c r="N190" s="19" t="s">
        <v>664</v>
      </c>
      <c r="O190" s="21" t="s">
        <v>826</v>
      </c>
      <c r="P190" s="3" t="s">
        <v>913</v>
      </c>
    </row>
    <row r="191" spans="8:16" ht="29" hidden="1" x14ac:dyDescent="0.35">
      <c r="H191" s="13"/>
      <c r="I191" s="18">
        <f t="shared" si="2"/>
        <v>189</v>
      </c>
      <c r="J191" s="19" t="s">
        <v>127</v>
      </c>
      <c r="K191" s="20" t="s">
        <v>382</v>
      </c>
      <c r="L191" s="21" t="s">
        <v>525</v>
      </c>
      <c r="M191" s="21"/>
      <c r="N191" s="19" t="s">
        <v>665</v>
      </c>
      <c r="O191" s="21" t="s">
        <v>818</v>
      </c>
      <c r="P191" s="3" t="s">
        <v>914</v>
      </c>
    </row>
    <row r="192" spans="8:16" ht="29" hidden="1" x14ac:dyDescent="0.35">
      <c r="H192" s="13"/>
      <c r="I192" s="18">
        <f t="shared" si="2"/>
        <v>190</v>
      </c>
      <c r="J192" s="19" t="s">
        <v>230</v>
      </c>
      <c r="K192" s="20" t="s">
        <v>485</v>
      </c>
      <c r="L192" s="21" t="s">
        <v>522</v>
      </c>
      <c r="M192" s="21"/>
      <c r="N192" s="19" t="s">
        <v>769</v>
      </c>
      <c r="O192" s="21" t="s">
        <v>826</v>
      </c>
      <c r="P192" s="3" t="s">
        <v>944</v>
      </c>
    </row>
    <row r="193" spans="8:16" ht="29" hidden="1" x14ac:dyDescent="0.35">
      <c r="H193" s="13"/>
      <c r="I193" s="18">
        <f t="shared" si="2"/>
        <v>191</v>
      </c>
      <c r="J193" s="19" t="s">
        <v>231</v>
      </c>
      <c r="K193" s="20" t="s">
        <v>486</v>
      </c>
      <c r="L193" s="21" t="s">
        <v>522</v>
      </c>
      <c r="M193" s="21" t="s">
        <v>532</v>
      </c>
      <c r="N193" s="19" t="s">
        <v>770</v>
      </c>
      <c r="O193" s="21" t="s">
        <v>826</v>
      </c>
      <c r="P193" s="3" t="s">
        <v>944</v>
      </c>
    </row>
    <row r="194" spans="8:16" ht="29" hidden="1" x14ac:dyDescent="0.35">
      <c r="H194" s="13"/>
      <c r="I194" s="18">
        <f t="shared" si="2"/>
        <v>192</v>
      </c>
      <c r="J194" s="19" t="s">
        <v>232</v>
      </c>
      <c r="K194" s="20" t="s">
        <v>487</v>
      </c>
      <c r="L194" s="21" t="s">
        <v>525</v>
      </c>
      <c r="M194" s="21"/>
      <c r="N194" s="19" t="s">
        <v>771</v>
      </c>
      <c r="O194" s="21" t="s">
        <v>834</v>
      </c>
      <c r="P194" s="3" t="s">
        <v>944</v>
      </c>
    </row>
    <row r="195" spans="8:16" ht="29" hidden="1" x14ac:dyDescent="0.35">
      <c r="H195" s="13"/>
      <c r="I195" s="18">
        <f t="shared" si="2"/>
        <v>193</v>
      </c>
      <c r="J195" s="22" t="s">
        <v>260</v>
      </c>
      <c r="K195" s="23" t="s">
        <v>515</v>
      </c>
      <c r="L195" s="21" t="s">
        <v>522</v>
      </c>
      <c r="M195" s="24" t="s">
        <v>531</v>
      </c>
      <c r="N195" s="22" t="s">
        <v>799</v>
      </c>
      <c r="O195" s="24" t="s">
        <v>837</v>
      </c>
      <c r="P195" s="3" t="s">
        <v>954</v>
      </c>
    </row>
    <row r="196" spans="8:16" ht="29" hidden="1" x14ac:dyDescent="0.35">
      <c r="H196" s="13"/>
      <c r="I196" s="18">
        <f t="shared" si="2"/>
        <v>194</v>
      </c>
      <c r="J196" s="19" t="s">
        <v>261</v>
      </c>
      <c r="K196" s="20" t="s">
        <v>516</v>
      </c>
      <c r="L196" s="21" t="s">
        <v>522</v>
      </c>
      <c r="M196" s="21" t="s">
        <v>533</v>
      </c>
      <c r="N196" s="19" t="s">
        <v>800</v>
      </c>
      <c r="O196" s="21" t="s">
        <v>806</v>
      </c>
      <c r="P196" s="3" t="s">
        <v>954</v>
      </c>
    </row>
    <row r="197" spans="8:16" ht="29" hidden="1" x14ac:dyDescent="0.35">
      <c r="H197" s="13"/>
      <c r="I197" s="18">
        <f t="shared" si="2"/>
        <v>195</v>
      </c>
      <c r="J197" s="19" t="s">
        <v>262</v>
      </c>
      <c r="K197" s="20" t="s">
        <v>517</v>
      </c>
      <c r="L197" s="21" t="s">
        <v>522</v>
      </c>
      <c r="M197" s="21"/>
      <c r="N197" s="19" t="s">
        <v>801</v>
      </c>
      <c r="O197" s="21" t="s">
        <v>806</v>
      </c>
      <c r="P197" s="3" t="s">
        <v>954</v>
      </c>
    </row>
    <row r="198" spans="8:16" hidden="1" x14ac:dyDescent="0.35">
      <c r="H198" s="13"/>
      <c r="I198" s="18">
        <f t="shared" ref="I198:I261" si="3">I197+1</f>
        <v>196</v>
      </c>
      <c r="J198" s="19" t="s">
        <v>213</v>
      </c>
      <c r="K198" s="20" t="s">
        <v>468</v>
      </c>
      <c r="L198" s="21" t="s">
        <v>522</v>
      </c>
      <c r="M198" s="21" t="s">
        <v>533</v>
      </c>
      <c r="N198" s="19" t="s">
        <v>752</v>
      </c>
      <c r="O198" s="21" t="s">
        <v>805</v>
      </c>
      <c r="P198" s="3" t="s">
        <v>939</v>
      </c>
    </row>
    <row r="199" spans="8:16" ht="29" hidden="1" x14ac:dyDescent="0.35">
      <c r="H199" s="13"/>
      <c r="I199" s="18">
        <f t="shared" si="3"/>
        <v>197</v>
      </c>
      <c r="J199" s="19" t="s">
        <v>214</v>
      </c>
      <c r="K199" s="20" t="s">
        <v>469</v>
      </c>
      <c r="L199" s="21" t="s">
        <v>524</v>
      </c>
      <c r="M199" s="21" t="s">
        <v>532</v>
      </c>
      <c r="N199" s="19" t="s">
        <v>753</v>
      </c>
      <c r="O199" s="21" t="s">
        <v>805</v>
      </c>
      <c r="P199" s="3" t="s">
        <v>939</v>
      </c>
    </row>
    <row r="200" spans="8:16" ht="29" hidden="1" x14ac:dyDescent="0.35">
      <c r="H200" s="13"/>
      <c r="I200" s="18">
        <f t="shared" si="3"/>
        <v>198</v>
      </c>
      <c r="J200" s="19" t="s">
        <v>215</v>
      </c>
      <c r="K200" s="20" t="s">
        <v>470</v>
      </c>
      <c r="L200" s="21" t="s">
        <v>522</v>
      </c>
      <c r="M200" s="21" t="s">
        <v>531</v>
      </c>
      <c r="N200" s="19" t="s">
        <v>754</v>
      </c>
      <c r="O200" s="21" t="s">
        <v>832</v>
      </c>
      <c r="P200" s="3" t="s">
        <v>939</v>
      </c>
    </row>
    <row r="201" spans="8:16" ht="29" hidden="1" x14ac:dyDescent="0.35">
      <c r="H201" s="13"/>
      <c r="I201" s="18">
        <f t="shared" si="3"/>
        <v>199</v>
      </c>
      <c r="J201" s="19" t="s">
        <v>216</v>
      </c>
      <c r="K201" s="20" t="s">
        <v>471</v>
      </c>
      <c r="L201" s="21" t="s">
        <v>522</v>
      </c>
      <c r="M201" s="21"/>
      <c r="N201" s="19" t="s">
        <v>755</v>
      </c>
      <c r="O201" s="21" t="s">
        <v>846</v>
      </c>
      <c r="P201" s="3" t="s">
        <v>939</v>
      </c>
    </row>
    <row r="202" spans="8:16" ht="29" hidden="1" x14ac:dyDescent="0.35">
      <c r="H202" s="13"/>
      <c r="I202" s="18">
        <f t="shared" si="3"/>
        <v>200</v>
      </c>
      <c r="J202" s="22" t="s">
        <v>239</v>
      </c>
      <c r="K202" s="23" t="s">
        <v>494</v>
      </c>
      <c r="L202" s="21" t="s">
        <v>523</v>
      </c>
      <c r="M202" s="24" t="s">
        <v>531</v>
      </c>
      <c r="N202" s="22" t="s">
        <v>778</v>
      </c>
      <c r="O202" s="24" t="s">
        <v>821</v>
      </c>
      <c r="P202" s="3" t="s">
        <v>947</v>
      </c>
    </row>
    <row r="203" spans="8:16" ht="29" hidden="1" x14ac:dyDescent="0.35">
      <c r="H203" s="13"/>
      <c r="I203" s="18">
        <f t="shared" si="3"/>
        <v>201</v>
      </c>
      <c r="J203" s="19" t="s">
        <v>240</v>
      </c>
      <c r="K203" s="20" t="s">
        <v>495</v>
      </c>
      <c r="L203" s="21" t="s">
        <v>529</v>
      </c>
      <c r="M203" s="21"/>
      <c r="N203" s="19" t="s">
        <v>779</v>
      </c>
      <c r="O203" s="21" t="s">
        <v>821</v>
      </c>
      <c r="P203" s="3" t="s">
        <v>947</v>
      </c>
    </row>
    <row r="204" spans="8:16" ht="29" hidden="1" x14ac:dyDescent="0.35">
      <c r="H204" s="13"/>
      <c r="I204" s="18">
        <f t="shared" si="3"/>
        <v>202</v>
      </c>
      <c r="J204" s="19" t="s">
        <v>241</v>
      </c>
      <c r="K204" s="20" t="s">
        <v>496</v>
      </c>
      <c r="L204" s="21" t="s">
        <v>522</v>
      </c>
      <c r="M204" s="21"/>
      <c r="N204" s="19" t="s">
        <v>780</v>
      </c>
      <c r="O204" s="21" t="s">
        <v>832</v>
      </c>
      <c r="P204" s="3" t="s">
        <v>947</v>
      </c>
    </row>
    <row r="205" spans="8:16" ht="29" hidden="1" x14ac:dyDescent="0.35">
      <c r="H205" s="13"/>
      <c r="I205" s="18">
        <f t="shared" si="3"/>
        <v>203</v>
      </c>
      <c r="J205" s="19" t="s">
        <v>223</v>
      </c>
      <c r="K205" s="20" t="s">
        <v>478</v>
      </c>
      <c r="L205" s="21" t="s">
        <v>523</v>
      </c>
      <c r="M205" s="21" t="s">
        <v>531</v>
      </c>
      <c r="N205" s="19" t="s">
        <v>762</v>
      </c>
      <c r="O205" s="21" t="s">
        <v>805</v>
      </c>
      <c r="P205" s="3" t="s">
        <v>942</v>
      </c>
    </row>
    <row r="206" spans="8:16" ht="29" hidden="1" x14ac:dyDescent="0.35">
      <c r="H206" s="13"/>
      <c r="I206" s="18">
        <f t="shared" si="3"/>
        <v>204</v>
      </c>
      <c r="J206" s="19" t="s">
        <v>224</v>
      </c>
      <c r="K206" s="20" t="s">
        <v>479</v>
      </c>
      <c r="L206" s="21" t="s">
        <v>522</v>
      </c>
      <c r="M206" s="21"/>
      <c r="N206" s="19" t="s">
        <v>763</v>
      </c>
      <c r="O206" s="21" t="s">
        <v>847</v>
      </c>
      <c r="P206" s="3" t="s">
        <v>942</v>
      </c>
    </row>
    <row r="207" spans="8:16" ht="29" hidden="1" x14ac:dyDescent="0.35">
      <c r="H207" s="13"/>
      <c r="I207" s="18">
        <f t="shared" si="3"/>
        <v>205</v>
      </c>
      <c r="J207" s="19" t="s">
        <v>225</v>
      </c>
      <c r="K207" s="20" t="s">
        <v>480</v>
      </c>
      <c r="L207" s="21" t="s">
        <v>524</v>
      </c>
      <c r="M207" s="21"/>
      <c r="N207" s="19" t="s">
        <v>764</v>
      </c>
      <c r="O207" s="21" t="s">
        <v>826</v>
      </c>
      <c r="P207" s="3" t="s">
        <v>942</v>
      </c>
    </row>
    <row r="208" spans="8:16" ht="29" hidden="1" x14ac:dyDescent="0.35">
      <c r="H208" s="13"/>
      <c r="I208" s="18">
        <f t="shared" si="3"/>
        <v>206</v>
      </c>
      <c r="J208" s="19" t="s">
        <v>149</v>
      </c>
      <c r="K208" s="20" t="s">
        <v>404</v>
      </c>
      <c r="L208" s="21" t="s">
        <v>523</v>
      </c>
      <c r="M208" s="21" t="s">
        <v>531</v>
      </c>
      <c r="N208" s="19" t="s">
        <v>687</v>
      </c>
      <c r="O208" s="21" t="s">
        <v>835</v>
      </c>
      <c r="P208" s="3" t="s">
        <v>919</v>
      </c>
    </row>
    <row r="209" spans="8:16" ht="29" hidden="1" x14ac:dyDescent="0.35">
      <c r="H209" s="13"/>
      <c r="I209" s="18">
        <f t="shared" si="3"/>
        <v>207</v>
      </c>
      <c r="J209" s="19" t="s">
        <v>150</v>
      </c>
      <c r="K209" s="20" t="s">
        <v>405</v>
      </c>
      <c r="L209" s="21" t="s">
        <v>524</v>
      </c>
      <c r="M209" s="21"/>
      <c r="N209" s="19" t="s">
        <v>688</v>
      </c>
      <c r="O209" s="21" t="s">
        <v>836</v>
      </c>
      <c r="P209" s="3" t="s">
        <v>919</v>
      </c>
    </row>
    <row r="210" spans="8:16" ht="29" hidden="1" x14ac:dyDescent="0.35">
      <c r="H210" s="13"/>
      <c r="I210" s="18">
        <f t="shared" si="3"/>
        <v>208</v>
      </c>
      <c r="J210" s="19" t="s">
        <v>151</v>
      </c>
      <c r="K210" s="20" t="s">
        <v>406</v>
      </c>
      <c r="L210" s="21" t="s">
        <v>522</v>
      </c>
      <c r="M210" s="21"/>
      <c r="N210" s="19" t="s">
        <v>689</v>
      </c>
      <c r="O210" s="21" t="s">
        <v>834</v>
      </c>
      <c r="P210" s="3" t="s">
        <v>919</v>
      </c>
    </row>
    <row r="211" spans="8:16" ht="29" hidden="1" x14ac:dyDescent="0.35">
      <c r="H211" s="13"/>
      <c r="I211" s="18">
        <f t="shared" si="3"/>
        <v>209</v>
      </c>
      <c r="J211" s="19" t="s">
        <v>155</v>
      </c>
      <c r="K211" s="20" t="s">
        <v>410</v>
      </c>
      <c r="L211" s="21" t="s">
        <v>522</v>
      </c>
      <c r="M211" s="21" t="s">
        <v>531</v>
      </c>
      <c r="N211" s="19" t="s">
        <v>693</v>
      </c>
      <c r="O211" s="21" t="s">
        <v>814</v>
      </c>
      <c r="P211" s="3" t="s">
        <v>921</v>
      </c>
    </row>
    <row r="212" spans="8:16" ht="29" hidden="1" x14ac:dyDescent="0.35">
      <c r="H212" s="13"/>
      <c r="I212" s="18">
        <f t="shared" si="3"/>
        <v>210</v>
      </c>
      <c r="J212" s="22" t="s">
        <v>156</v>
      </c>
      <c r="K212" s="23" t="s">
        <v>411</v>
      </c>
      <c r="L212" s="21" t="s">
        <v>522</v>
      </c>
      <c r="M212" s="24" t="s">
        <v>531</v>
      </c>
      <c r="N212" s="22" t="s">
        <v>694</v>
      </c>
      <c r="O212" s="24" t="s">
        <v>811</v>
      </c>
      <c r="P212" s="3" t="s">
        <v>921</v>
      </c>
    </row>
    <row r="213" spans="8:16" ht="29" hidden="1" x14ac:dyDescent="0.35">
      <c r="H213" s="13"/>
      <c r="I213" s="18">
        <f t="shared" si="3"/>
        <v>211</v>
      </c>
      <c r="J213" s="19" t="s">
        <v>157</v>
      </c>
      <c r="K213" s="20" t="s">
        <v>412</v>
      </c>
      <c r="L213" s="21" t="s">
        <v>524</v>
      </c>
      <c r="M213" s="21"/>
      <c r="N213" s="19" t="s">
        <v>695</v>
      </c>
      <c r="O213" s="21" t="s">
        <v>813</v>
      </c>
      <c r="P213" s="3" t="s">
        <v>921</v>
      </c>
    </row>
    <row r="214" spans="8:16" ht="29" hidden="1" x14ac:dyDescent="0.35">
      <c r="H214" s="13"/>
      <c r="I214" s="18">
        <f t="shared" si="3"/>
        <v>212</v>
      </c>
      <c r="J214" s="19" t="s">
        <v>201</v>
      </c>
      <c r="K214" s="20" t="s">
        <v>456</v>
      </c>
      <c r="L214" s="21" t="s">
        <v>522</v>
      </c>
      <c r="M214" s="21"/>
      <c r="N214" s="19" t="s">
        <v>740</v>
      </c>
      <c r="O214" s="21" t="s">
        <v>834</v>
      </c>
      <c r="P214" s="3" t="s">
        <v>935</v>
      </c>
    </row>
    <row r="215" spans="8:16" ht="29" hidden="1" x14ac:dyDescent="0.35">
      <c r="H215" s="13"/>
      <c r="I215" s="18">
        <f t="shared" si="3"/>
        <v>213</v>
      </c>
      <c r="J215" s="19" t="s">
        <v>202</v>
      </c>
      <c r="K215" s="20" t="s">
        <v>457</v>
      </c>
      <c r="L215" s="21" t="s">
        <v>529</v>
      </c>
      <c r="M215" s="21"/>
      <c r="N215" s="19" t="s">
        <v>741</v>
      </c>
      <c r="O215" s="21" t="s">
        <v>834</v>
      </c>
      <c r="P215" s="3" t="s">
        <v>935</v>
      </c>
    </row>
    <row r="216" spans="8:16" ht="29" hidden="1" x14ac:dyDescent="0.35">
      <c r="H216" s="13"/>
      <c r="I216" s="18">
        <f t="shared" si="3"/>
        <v>214</v>
      </c>
      <c r="J216" s="19" t="s">
        <v>203</v>
      </c>
      <c r="K216" s="20" t="s">
        <v>458</v>
      </c>
      <c r="L216" s="21" t="s">
        <v>523</v>
      </c>
      <c r="M216" s="21"/>
      <c r="N216" s="19" t="s">
        <v>742</v>
      </c>
      <c r="O216" s="21" t="s">
        <v>844</v>
      </c>
      <c r="P216" s="3" t="s">
        <v>935</v>
      </c>
    </row>
    <row r="217" spans="8:16" ht="29" hidden="1" x14ac:dyDescent="0.35">
      <c r="H217" s="13"/>
      <c r="I217" s="18">
        <f t="shared" si="3"/>
        <v>215</v>
      </c>
      <c r="J217" s="19" t="s">
        <v>169</v>
      </c>
      <c r="K217" s="20" t="s">
        <v>424</v>
      </c>
      <c r="L217" s="21" t="s">
        <v>522</v>
      </c>
      <c r="M217" s="21" t="s">
        <v>531</v>
      </c>
      <c r="N217" s="19" t="s">
        <v>707</v>
      </c>
      <c r="O217" s="21" t="s">
        <v>839</v>
      </c>
      <c r="P217" s="3" t="s">
        <v>925</v>
      </c>
    </row>
    <row r="218" spans="8:16" ht="29" hidden="1" x14ac:dyDescent="0.35">
      <c r="H218" s="13"/>
      <c r="I218" s="18">
        <f t="shared" si="3"/>
        <v>216</v>
      </c>
      <c r="J218" s="19" t="s">
        <v>170</v>
      </c>
      <c r="K218" s="20" t="s">
        <v>425</v>
      </c>
      <c r="L218" s="21" t="s">
        <v>522</v>
      </c>
      <c r="M218" s="21"/>
      <c r="N218" s="19" t="s">
        <v>708</v>
      </c>
      <c r="O218" s="21" t="s">
        <v>834</v>
      </c>
      <c r="P218" s="3" t="s">
        <v>925</v>
      </c>
    </row>
    <row r="219" spans="8:16" ht="29" hidden="1" x14ac:dyDescent="0.35">
      <c r="H219" s="13"/>
      <c r="I219" s="18">
        <f t="shared" si="3"/>
        <v>217</v>
      </c>
      <c r="J219" s="19" t="s">
        <v>171</v>
      </c>
      <c r="K219" s="20" t="s">
        <v>426</v>
      </c>
      <c r="L219" s="21" t="s">
        <v>522</v>
      </c>
      <c r="M219" s="21"/>
      <c r="N219" s="19" t="s">
        <v>709</v>
      </c>
      <c r="O219" s="21" t="s">
        <v>840</v>
      </c>
      <c r="P219" s="3" t="s">
        <v>925</v>
      </c>
    </row>
    <row r="220" spans="8:16" ht="29" hidden="1" x14ac:dyDescent="0.35">
      <c r="H220" s="13"/>
      <c r="I220" s="18">
        <f t="shared" si="3"/>
        <v>218</v>
      </c>
      <c r="J220" s="22" t="s">
        <v>233</v>
      </c>
      <c r="K220" s="23" t="s">
        <v>488</v>
      </c>
      <c r="L220" s="21" t="s">
        <v>523</v>
      </c>
      <c r="M220" s="24" t="s">
        <v>531</v>
      </c>
      <c r="N220" s="22" t="s">
        <v>772</v>
      </c>
      <c r="O220" s="24" t="s">
        <v>805</v>
      </c>
      <c r="P220" s="3" t="s">
        <v>945</v>
      </c>
    </row>
    <row r="221" spans="8:16" ht="29" hidden="1" x14ac:dyDescent="0.35">
      <c r="H221" s="13"/>
      <c r="I221" s="18">
        <f t="shared" si="3"/>
        <v>219</v>
      </c>
      <c r="J221" s="19" t="s">
        <v>234</v>
      </c>
      <c r="K221" s="20" t="s">
        <v>489</v>
      </c>
      <c r="L221" s="21" t="s">
        <v>523</v>
      </c>
      <c r="M221" s="21" t="s">
        <v>531</v>
      </c>
      <c r="N221" s="19" t="s">
        <v>773</v>
      </c>
      <c r="O221" s="21" t="s">
        <v>805</v>
      </c>
      <c r="P221" s="3" t="s">
        <v>945</v>
      </c>
    </row>
    <row r="222" spans="8:16" ht="29" hidden="1" x14ac:dyDescent="0.35">
      <c r="H222" s="13"/>
      <c r="I222" s="18">
        <f t="shared" si="3"/>
        <v>220</v>
      </c>
      <c r="J222" s="19" t="s">
        <v>235</v>
      </c>
      <c r="K222" s="20" t="s">
        <v>490</v>
      </c>
      <c r="L222" s="21" t="s">
        <v>523</v>
      </c>
      <c r="M222" s="21" t="s">
        <v>531</v>
      </c>
      <c r="N222" s="19" t="s">
        <v>774</v>
      </c>
      <c r="O222" s="21" t="s">
        <v>805</v>
      </c>
      <c r="P222" s="3" t="s">
        <v>945</v>
      </c>
    </row>
    <row r="223" spans="8:16" ht="26" hidden="1" x14ac:dyDescent="0.35">
      <c r="H223" s="13"/>
      <c r="I223" s="18">
        <f t="shared" si="3"/>
        <v>221</v>
      </c>
      <c r="J223" s="22" t="s">
        <v>158</v>
      </c>
      <c r="K223" s="23" t="s">
        <v>413</v>
      </c>
      <c r="L223" s="21" t="s">
        <v>522</v>
      </c>
      <c r="M223" s="24" t="s">
        <v>531</v>
      </c>
      <c r="N223" s="19" t="s">
        <v>696</v>
      </c>
      <c r="O223" s="24" t="s">
        <v>805</v>
      </c>
      <c r="P223" s="3" t="s">
        <v>922</v>
      </c>
    </row>
    <row r="224" spans="8:16" ht="29" hidden="1" x14ac:dyDescent="0.35">
      <c r="H224" s="13"/>
      <c r="I224" s="18">
        <f t="shared" si="3"/>
        <v>222</v>
      </c>
      <c r="J224" s="19" t="s">
        <v>159</v>
      </c>
      <c r="K224" s="20" t="s">
        <v>414</v>
      </c>
      <c r="L224" s="21" t="s">
        <v>524</v>
      </c>
      <c r="M224" s="21" t="s">
        <v>531</v>
      </c>
      <c r="N224" s="19" t="s">
        <v>697</v>
      </c>
      <c r="O224" s="21" t="s">
        <v>837</v>
      </c>
      <c r="P224" s="3" t="s">
        <v>922</v>
      </c>
    </row>
    <row r="225" spans="8:16" ht="29" hidden="1" x14ac:dyDescent="0.35">
      <c r="H225" s="13"/>
      <c r="I225" s="18">
        <f t="shared" si="3"/>
        <v>223</v>
      </c>
      <c r="J225" s="19" t="s">
        <v>160</v>
      </c>
      <c r="K225" s="20" t="s">
        <v>415</v>
      </c>
      <c r="L225" s="21" t="s">
        <v>524</v>
      </c>
      <c r="M225" s="21"/>
      <c r="N225" s="19" t="s">
        <v>698</v>
      </c>
      <c r="O225" s="21" t="s">
        <v>837</v>
      </c>
      <c r="P225" s="3" t="s">
        <v>922</v>
      </c>
    </row>
    <row r="226" spans="8:16" ht="29" hidden="1" x14ac:dyDescent="0.35">
      <c r="H226" s="13"/>
      <c r="I226" s="18">
        <f t="shared" si="3"/>
        <v>224</v>
      </c>
      <c r="J226" s="19" t="s">
        <v>161</v>
      </c>
      <c r="K226" s="20" t="s">
        <v>416</v>
      </c>
      <c r="L226" s="21" t="s">
        <v>522</v>
      </c>
      <c r="M226" s="21"/>
      <c r="N226" s="19" t="s">
        <v>699</v>
      </c>
      <c r="O226" s="21" t="s">
        <v>818</v>
      </c>
      <c r="P226" s="3" t="s">
        <v>922</v>
      </c>
    </row>
    <row r="227" spans="8:16" hidden="1" x14ac:dyDescent="0.35">
      <c r="H227" s="13"/>
      <c r="I227" s="18">
        <f t="shared" si="3"/>
        <v>225</v>
      </c>
      <c r="J227" s="19" t="s">
        <v>162</v>
      </c>
      <c r="K227" s="20" t="s">
        <v>417</v>
      </c>
      <c r="L227" s="21" t="s">
        <v>522</v>
      </c>
      <c r="M227" s="21" t="s">
        <v>531</v>
      </c>
      <c r="N227" s="22" t="s">
        <v>700</v>
      </c>
      <c r="O227" s="21" t="s">
        <v>805</v>
      </c>
      <c r="P227" s="3" t="s">
        <v>923</v>
      </c>
    </row>
    <row r="228" spans="8:16" ht="29" hidden="1" x14ac:dyDescent="0.35">
      <c r="H228" s="13"/>
      <c r="I228" s="18">
        <f t="shared" si="3"/>
        <v>226</v>
      </c>
      <c r="J228" s="19" t="s">
        <v>163</v>
      </c>
      <c r="K228" s="20" t="s">
        <v>418</v>
      </c>
      <c r="L228" s="21" t="s">
        <v>523</v>
      </c>
      <c r="M228" s="21" t="s">
        <v>531</v>
      </c>
      <c r="N228" s="19" t="s">
        <v>701</v>
      </c>
      <c r="O228" s="21" t="s">
        <v>805</v>
      </c>
      <c r="P228" s="3" t="s">
        <v>923</v>
      </c>
    </row>
    <row r="229" spans="8:16" ht="29" hidden="1" x14ac:dyDescent="0.35">
      <c r="H229" s="13"/>
      <c r="I229" s="18">
        <f t="shared" si="3"/>
        <v>227</v>
      </c>
      <c r="J229" s="19" t="s">
        <v>164</v>
      </c>
      <c r="K229" s="20" t="s">
        <v>419</v>
      </c>
      <c r="L229" s="21" t="s">
        <v>522</v>
      </c>
      <c r="M229" s="21"/>
      <c r="N229" s="19" t="s">
        <v>702</v>
      </c>
      <c r="O229" s="21" t="s">
        <v>838</v>
      </c>
      <c r="P229" s="3" t="s">
        <v>923</v>
      </c>
    </row>
    <row r="230" spans="8:16" ht="29" hidden="1" x14ac:dyDescent="0.35">
      <c r="H230" s="13"/>
      <c r="I230" s="18">
        <f t="shared" si="3"/>
        <v>228</v>
      </c>
      <c r="J230" s="19" t="s">
        <v>165</v>
      </c>
      <c r="K230" s="20" t="s">
        <v>420</v>
      </c>
      <c r="L230" s="21" t="s">
        <v>522</v>
      </c>
      <c r="M230" s="21"/>
      <c r="N230" s="19" t="s">
        <v>703</v>
      </c>
      <c r="O230" s="21" t="s">
        <v>805</v>
      </c>
      <c r="P230" s="3" t="s">
        <v>923</v>
      </c>
    </row>
    <row r="231" spans="8:16" ht="29" hidden="1" x14ac:dyDescent="0.35">
      <c r="H231" s="13"/>
      <c r="I231" s="18">
        <f t="shared" si="3"/>
        <v>229</v>
      </c>
      <c r="J231" s="22" t="s">
        <v>257</v>
      </c>
      <c r="K231" s="23" t="s">
        <v>512</v>
      </c>
      <c r="L231" s="21" t="s">
        <v>523</v>
      </c>
      <c r="M231" s="24" t="s">
        <v>531</v>
      </c>
      <c r="N231" s="22" t="s">
        <v>796</v>
      </c>
      <c r="O231" s="24" t="s">
        <v>828</v>
      </c>
      <c r="P231" s="3" t="s">
        <v>953</v>
      </c>
    </row>
    <row r="232" spans="8:16" ht="29" hidden="1" x14ac:dyDescent="0.35">
      <c r="H232" s="13"/>
      <c r="I232" s="18">
        <f t="shared" si="3"/>
        <v>230</v>
      </c>
      <c r="J232" s="19" t="s">
        <v>258</v>
      </c>
      <c r="K232" s="20" t="s">
        <v>513</v>
      </c>
      <c r="L232" s="21" t="s">
        <v>524</v>
      </c>
      <c r="M232" s="21" t="s">
        <v>532</v>
      </c>
      <c r="N232" s="19" t="s">
        <v>797</v>
      </c>
      <c r="O232" s="21" t="s">
        <v>834</v>
      </c>
      <c r="P232" s="3" t="s">
        <v>953</v>
      </c>
    </row>
    <row r="233" spans="8:16" ht="29" hidden="1" x14ac:dyDescent="0.35">
      <c r="H233" s="13"/>
      <c r="I233" s="18">
        <f t="shared" si="3"/>
        <v>231</v>
      </c>
      <c r="J233" s="19" t="s">
        <v>259</v>
      </c>
      <c r="K233" s="20" t="s">
        <v>514</v>
      </c>
      <c r="L233" s="21" t="s">
        <v>524</v>
      </c>
      <c r="M233" s="21"/>
      <c r="N233" s="19" t="s">
        <v>798</v>
      </c>
      <c r="O233" s="21" t="s">
        <v>832</v>
      </c>
      <c r="P233" s="3" t="s">
        <v>953</v>
      </c>
    </row>
    <row r="234" spans="8:16" ht="29" hidden="1" x14ac:dyDescent="0.35">
      <c r="H234" s="13"/>
      <c r="I234" s="18">
        <f t="shared" si="3"/>
        <v>232</v>
      </c>
      <c r="J234" s="19" t="s">
        <v>188</v>
      </c>
      <c r="K234" s="20" t="s">
        <v>443</v>
      </c>
      <c r="L234" s="21" t="s">
        <v>522</v>
      </c>
      <c r="M234" s="21" t="s">
        <v>531</v>
      </c>
      <c r="N234" s="19" t="s">
        <v>726</v>
      </c>
      <c r="O234" s="21" t="s">
        <v>828</v>
      </c>
      <c r="P234" s="3" t="s">
        <v>931</v>
      </c>
    </row>
    <row r="235" spans="8:16" ht="29" hidden="1" x14ac:dyDescent="0.35">
      <c r="H235" s="13"/>
      <c r="I235" s="18">
        <f t="shared" si="3"/>
        <v>233</v>
      </c>
      <c r="J235" s="19" t="s">
        <v>189</v>
      </c>
      <c r="K235" s="20" t="s">
        <v>444</v>
      </c>
      <c r="L235" s="21" t="s">
        <v>522</v>
      </c>
      <c r="M235" s="21"/>
      <c r="N235" s="19" t="s">
        <v>727</v>
      </c>
      <c r="O235" s="21" t="s">
        <v>842</v>
      </c>
      <c r="P235" s="3" t="s">
        <v>931</v>
      </c>
    </row>
    <row r="236" spans="8:16" ht="29" hidden="1" x14ac:dyDescent="0.35">
      <c r="H236" s="14"/>
      <c r="I236" s="18">
        <f t="shared" si="3"/>
        <v>234</v>
      </c>
      <c r="J236" s="19" t="s">
        <v>190</v>
      </c>
      <c r="K236" s="20" t="s">
        <v>445</v>
      </c>
      <c r="L236" s="21" t="s">
        <v>525</v>
      </c>
      <c r="M236" s="21"/>
      <c r="N236" s="19" t="s">
        <v>728</v>
      </c>
      <c r="O236" s="21" t="s">
        <v>843</v>
      </c>
      <c r="P236" s="3" t="s">
        <v>931</v>
      </c>
    </row>
    <row r="237" spans="8:16" ht="29" hidden="1" x14ac:dyDescent="0.35">
      <c r="H237" s="13"/>
      <c r="I237" s="18">
        <f t="shared" si="3"/>
        <v>235</v>
      </c>
      <c r="J237" s="19" t="s">
        <v>207</v>
      </c>
      <c r="K237" s="20" t="s">
        <v>462</v>
      </c>
      <c r="L237" s="21" t="s">
        <v>523</v>
      </c>
      <c r="M237" s="21" t="s">
        <v>531</v>
      </c>
      <c r="N237" s="19" t="s">
        <v>746</v>
      </c>
      <c r="O237" s="21" t="s">
        <v>806</v>
      </c>
      <c r="P237" s="3" t="s">
        <v>937</v>
      </c>
    </row>
    <row r="238" spans="8:16" ht="29" hidden="1" x14ac:dyDescent="0.35">
      <c r="H238" s="13"/>
      <c r="I238" s="18">
        <f t="shared" si="3"/>
        <v>236</v>
      </c>
      <c r="J238" s="19" t="s">
        <v>208</v>
      </c>
      <c r="K238" s="20" t="s">
        <v>463</v>
      </c>
      <c r="L238" s="21" t="s">
        <v>524</v>
      </c>
      <c r="M238" s="21"/>
      <c r="N238" s="19" t="s">
        <v>747</v>
      </c>
      <c r="O238" s="21" t="s">
        <v>806</v>
      </c>
      <c r="P238" s="3" t="s">
        <v>937</v>
      </c>
    </row>
    <row r="239" spans="8:16" ht="29" hidden="1" x14ac:dyDescent="0.35">
      <c r="H239" s="13"/>
      <c r="I239" s="18">
        <f t="shared" si="3"/>
        <v>237</v>
      </c>
      <c r="J239" s="19" t="s">
        <v>209</v>
      </c>
      <c r="K239" s="20" t="s">
        <v>464</v>
      </c>
      <c r="L239" s="21" t="s">
        <v>522</v>
      </c>
      <c r="M239" s="21"/>
      <c r="N239" s="19" t="s">
        <v>748</v>
      </c>
      <c r="O239" s="21" t="s">
        <v>821</v>
      </c>
      <c r="P239" s="3" t="s">
        <v>937</v>
      </c>
    </row>
    <row r="240" spans="8:16" hidden="1" x14ac:dyDescent="0.35">
      <c r="H240" s="13"/>
      <c r="I240" s="18">
        <f t="shared" si="3"/>
        <v>238</v>
      </c>
      <c r="J240" s="19" t="s">
        <v>191</v>
      </c>
      <c r="K240" s="20" t="s">
        <v>446</v>
      </c>
      <c r="L240" s="21" t="s">
        <v>525</v>
      </c>
      <c r="M240" s="21" t="s">
        <v>533</v>
      </c>
      <c r="N240" s="19" t="s">
        <v>729</v>
      </c>
      <c r="O240" s="26" t="s">
        <v>805</v>
      </c>
      <c r="P240" s="3" t="s">
        <v>932</v>
      </c>
    </row>
    <row r="241" spans="8:16" ht="29" hidden="1" x14ac:dyDescent="0.35">
      <c r="H241" s="13"/>
      <c r="I241" s="18">
        <f t="shared" si="3"/>
        <v>239</v>
      </c>
      <c r="J241" s="19" t="s">
        <v>192</v>
      </c>
      <c r="K241" s="20" t="s">
        <v>447</v>
      </c>
      <c r="L241" s="21" t="s">
        <v>522</v>
      </c>
      <c r="M241" s="21"/>
      <c r="N241" s="19" t="s">
        <v>730</v>
      </c>
      <c r="O241" s="21" t="s">
        <v>805</v>
      </c>
      <c r="P241" s="3" t="s">
        <v>932</v>
      </c>
    </row>
    <row r="242" spans="8:16" ht="29" hidden="1" x14ac:dyDescent="0.35">
      <c r="H242" s="13"/>
      <c r="I242" s="18">
        <f t="shared" si="3"/>
        <v>240</v>
      </c>
      <c r="J242" s="19" t="s">
        <v>193</v>
      </c>
      <c r="K242" s="20" t="s">
        <v>448</v>
      </c>
      <c r="L242" s="21" t="s">
        <v>522</v>
      </c>
      <c r="M242" s="21" t="s">
        <v>531</v>
      </c>
      <c r="N242" s="19" t="s">
        <v>731</v>
      </c>
      <c r="O242" s="21" t="s">
        <v>813</v>
      </c>
      <c r="P242" s="3" t="s">
        <v>932</v>
      </c>
    </row>
    <row r="243" spans="8:16" ht="29" hidden="1" x14ac:dyDescent="0.35">
      <c r="H243" s="13"/>
      <c r="I243" s="18">
        <f t="shared" si="3"/>
        <v>241</v>
      </c>
      <c r="J243" s="19" t="s">
        <v>194</v>
      </c>
      <c r="K243" s="20" t="s">
        <v>449</v>
      </c>
      <c r="L243" s="21" t="s">
        <v>524</v>
      </c>
      <c r="M243" s="21"/>
      <c r="N243" s="19" t="s">
        <v>732</v>
      </c>
      <c r="O243" s="21" t="s">
        <v>805</v>
      </c>
      <c r="P243" s="3" t="s">
        <v>932</v>
      </c>
    </row>
    <row r="244" spans="8:16" hidden="1" x14ac:dyDescent="0.35">
      <c r="H244" s="13"/>
      <c r="I244" s="18">
        <f t="shared" si="3"/>
        <v>242</v>
      </c>
      <c r="J244" s="19" t="s">
        <v>178</v>
      </c>
      <c r="K244" s="20" t="s">
        <v>433</v>
      </c>
      <c r="L244" s="21" t="s">
        <v>525</v>
      </c>
      <c r="M244" s="21" t="s">
        <v>533</v>
      </c>
      <c r="N244" s="19" t="s">
        <v>716</v>
      </c>
      <c r="O244" s="21" t="s">
        <v>805</v>
      </c>
      <c r="P244" s="3" t="s">
        <v>928</v>
      </c>
    </row>
    <row r="245" spans="8:16" ht="29" hidden="1" x14ac:dyDescent="0.35">
      <c r="H245" s="14"/>
      <c r="I245" s="18">
        <f t="shared" si="3"/>
        <v>243</v>
      </c>
      <c r="J245" s="19" t="s">
        <v>179</v>
      </c>
      <c r="K245" s="20" t="s">
        <v>434</v>
      </c>
      <c r="L245" s="21" t="s">
        <v>522</v>
      </c>
      <c r="M245" s="21" t="s">
        <v>531</v>
      </c>
      <c r="N245" s="19" t="s">
        <v>717</v>
      </c>
      <c r="O245" s="21" t="s">
        <v>820</v>
      </c>
      <c r="P245" s="3" t="s">
        <v>928</v>
      </c>
    </row>
    <row r="246" spans="8:16" ht="29" hidden="1" x14ac:dyDescent="0.35">
      <c r="H246" s="13"/>
      <c r="I246" s="18">
        <f t="shared" si="3"/>
        <v>244</v>
      </c>
      <c r="J246" s="19" t="s">
        <v>180</v>
      </c>
      <c r="K246" s="20" t="s">
        <v>435</v>
      </c>
      <c r="L246" s="21" t="s">
        <v>522</v>
      </c>
      <c r="M246" s="21"/>
      <c r="N246" s="19" t="s">
        <v>718</v>
      </c>
      <c r="O246" s="26" t="s">
        <v>805</v>
      </c>
      <c r="P246" s="3" t="s">
        <v>928</v>
      </c>
    </row>
    <row r="247" spans="8:16" ht="29" hidden="1" x14ac:dyDescent="0.35">
      <c r="H247" s="13"/>
      <c r="I247" s="18">
        <f t="shared" si="3"/>
        <v>245</v>
      </c>
      <c r="J247" s="19" t="s">
        <v>181</v>
      </c>
      <c r="K247" s="20" t="s">
        <v>436</v>
      </c>
      <c r="L247" s="21" t="s">
        <v>522</v>
      </c>
      <c r="M247" s="21"/>
      <c r="N247" s="19" t="s">
        <v>719</v>
      </c>
      <c r="O247" s="21" t="s">
        <v>841</v>
      </c>
      <c r="P247" s="3" t="s">
        <v>928</v>
      </c>
    </row>
    <row r="248" spans="8:16" ht="29" hidden="1" x14ac:dyDescent="0.35">
      <c r="H248" s="13"/>
      <c r="I248" s="18">
        <f t="shared" si="3"/>
        <v>246</v>
      </c>
      <c r="J248" s="19" t="s">
        <v>143</v>
      </c>
      <c r="K248" s="20" t="s">
        <v>398</v>
      </c>
      <c r="L248" s="21" t="s">
        <v>523</v>
      </c>
      <c r="M248" s="21" t="s">
        <v>531</v>
      </c>
      <c r="N248" s="19" t="s">
        <v>681</v>
      </c>
      <c r="O248" s="21" t="s">
        <v>821</v>
      </c>
      <c r="P248" s="3" t="s">
        <v>917</v>
      </c>
    </row>
    <row r="249" spans="8:16" ht="29" hidden="1" x14ac:dyDescent="0.35">
      <c r="H249" s="13"/>
      <c r="I249" s="18">
        <f t="shared" si="3"/>
        <v>247</v>
      </c>
      <c r="J249" s="19" t="s">
        <v>144</v>
      </c>
      <c r="K249" s="20" t="s">
        <v>399</v>
      </c>
      <c r="L249" s="21" t="s">
        <v>524</v>
      </c>
      <c r="M249" s="21"/>
      <c r="N249" s="19" t="s">
        <v>682</v>
      </c>
      <c r="O249" s="21" t="s">
        <v>805</v>
      </c>
      <c r="P249" s="3" t="s">
        <v>917</v>
      </c>
    </row>
    <row r="250" spans="8:16" ht="29" hidden="1" x14ac:dyDescent="0.35">
      <c r="H250" s="13"/>
      <c r="I250" s="18">
        <f t="shared" si="3"/>
        <v>248</v>
      </c>
      <c r="J250" s="19" t="s">
        <v>145</v>
      </c>
      <c r="K250" s="20" t="s">
        <v>400</v>
      </c>
      <c r="L250" s="21" t="s">
        <v>524</v>
      </c>
      <c r="M250" s="21"/>
      <c r="N250" s="19" t="s">
        <v>683</v>
      </c>
      <c r="O250" s="21" t="s">
        <v>834</v>
      </c>
      <c r="P250" s="3" t="s">
        <v>917</v>
      </c>
    </row>
    <row r="251" spans="8:16" ht="29" hidden="1" x14ac:dyDescent="0.35">
      <c r="H251" s="13"/>
      <c r="I251" s="18">
        <f t="shared" si="3"/>
        <v>249</v>
      </c>
      <c r="J251" s="19" t="s">
        <v>210</v>
      </c>
      <c r="K251" s="20" t="s">
        <v>465</v>
      </c>
      <c r="L251" s="21" t="s">
        <v>522</v>
      </c>
      <c r="M251" s="21" t="s">
        <v>531</v>
      </c>
      <c r="N251" s="19" t="s">
        <v>749</v>
      </c>
      <c r="O251" s="21" t="s">
        <v>813</v>
      </c>
      <c r="P251" s="3" t="s">
        <v>938</v>
      </c>
    </row>
    <row r="252" spans="8:16" ht="29" hidden="1" x14ac:dyDescent="0.35">
      <c r="H252" s="13"/>
      <c r="I252" s="18">
        <f t="shared" si="3"/>
        <v>250</v>
      </c>
      <c r="J252" s="19" t="s">
        <v>211</v>
      </c>
      <c r="K252" s="20" t="s">
        <v>466</v>
      </c>
      <c r="L252" s="21" t="s">
        <v>522</v>
      </c>
      <c r="M252" s="21"/>
      <c r="N252" s="19" t="s">
        <v>750</v>
      </c>
      <c r="O252" s="21" t="s">
        <v>845</v>
      </c>
      <c r="P252" s="3" t="s">
        <v>938</v>
      </c>
    </row>
    <row r="253" spans="8:16" ht="29" hidden="1" x14ac:dyDescent="0.35">
      <c r="H253" s="13"/>
      <c r="I253" s="18">
        <f t="shared" si="3"/>
        <v>251</v>
      </c>
      <c r="J253" s="19" t="s">
        <v>212</v>
      </c>
      <c r="K253" s="20" t="s">
        <v>467</v>
      </c>
      <c r="L253" s="21" t="s">
        <v>522</v>
      </c>
      <c r="M253" s="21"/>
      <c r="N253" s="19" t="s">
        <v>751</v>
      </c>
      <c r="O253" s="21" t="s">
        <v>806</v>
      </c>
      <c r="P253" s="3" t="s">
        <v>938</v>
      </c>
    </row>
    <row r="254" spans="8:16" hidden="1" x14ac:dyDescent="0.35">
      <c r="H254" s="13"/>
      <c r="I254" s="18">
        <f t="shared" si="3"/>
        <v>252</v>
      </c>
      <c r="J254" s="19" t="s">
        <v>195</v>
      </c>
      <c r="K254" s="20" t="s">
        <v>450</v>
      </c>
      <c r="L254" s="21" t="s">
        <v>526</v>
      </c>
      <c r="M254" s="21" t="s">
        <v>533</v>
      </c>
      <c r="N254" s="19" t="s">
        <v>733</v>
      </c>
      <c r="O254" s="21" t="s">
        <v>805</v>
      </c>
      <c r="P254" s="3" t="s">
        <v>933</v>
      </c>
    </row>
    <row r="255" spans="8:16" ht="29" hidden="1" x14ac:dyDescent="0.35">
      <c r="H255" s="13"/>
      <c r="I255" s="18">
        <f t="shared" si="3"/>
        <v>253</v>
      </c>
      <c r="J255" s="19" t="s">
        <v>196</v>
      </c>
      <c r="K255" s="20" t="s">
        <v>451</v>
      </c>
      <c r="L255" s="21" t="s">
        <v>523</v>
      </c>
      <c r="M255" s="21" t="s">
        <v>531</v>
      </c>
      <c r="N255" s="19" t="s">
        <v>734</v>
      </c>
      <c r="O255" s="21" t="s">
        <v>806</v>
      </c>
      <c r="P255" s="3" t="s">
        <v>933</v>
      </c>
    </row>
    <row r="256" spans="8:16" ht="29" hidden="1" x14ac:dyDescent="0.35">
      <c r="H256" s="13"/>
      <c r="I256" s="18">
        <f t="shared" si="3"/>
        <v>254</v>
      </c>
      <c r="J256" s="19" t="s">
        <v>197</v>
      </c>
      <c r="K256" s="20" t="s">
        <v>452</v>
      </c>
      <c r="L256" s="21" t="s">
        <v>523</v>
      </c>
      <c r="M256" s="21" t="s">
        <v>531</v>
      </c>
      <c r="N256" s="19" t="s">
        <v>735</v>
      </c>
      <c r="O256" s="21" t="s">
        <v>818</v>
      </c>
      <c r="P256" s="3" t="s">
        <v>933</v>
      </c>
    </row>
    <row r="257" spans="8:16" ht="29" hidden="1" x14ac:dyDescent="0.35">
      <c r="H257" s="13"/>
      <c r="I257" s="18">
        <f t="shared" si="3"/>
        <v>255</v>
      </c>
      <c r="J257" s="19" t="s">
        <v>198</v>
      </c>
      <c r="K257" s="20" t="s">
        <v>453</v>
      </c>
      <c r="L257" s="21" t="s">
        <v>524</v>
      </c>
      <c r="M257" s="21"/>
      <c r="N257" s="19" t="s">
        <v>736</v>
      </c>
      <c r="O257" s="21" t="s">
        <v>806</v>
      </c>
      <c r="P257" s="3" t="s">
        <v>933</v>
      </c>
    </row>
    <row r="258" spans="8:16" ht="29" hidden="1" x14ac:dyDescent="0.35">
      <c r="H258" s="13"/>
      <c r="I258" s="18">
        <f t="shared" si="3"/>
        <v>256</v>
      </c>
      <c r="J258" s="19" t="s">
        <v>263</v>
      </c>
      <c r="K258" s="20" t="s">
        <v>518</v>
      </c>
      <c r="L258" s="21" t="s">
        <v>523</v>
      </c>
      <c r="M258" s="21" t="s">
        <v>531</v>
      </c>
      <c r="N258" s="19" t="s">
        <v>802</v>
      </c>
      <c r="O258" s="21" t="s">
        <v>806</v>
      </c>
      <c r="P258" s="3" t="s">
        <v>955</v>
      </c>
    </row>
    <row r="259" spans="8:16" ht="29" hidden="1" x14ac:dyDescent="0.35">
      <c r="H259" s="13"/>
      <c r="I259" s="18">
        <f t="shared" si="3"/>
        <v>257</v>
      </c>
      <c r="J259" s="19" t="s">
        <v>264</v>
      </c>
      <c r="K259" s="20" t="s">
        <v>519</v>
      </c>
      <c r="L259" s="21" t="s">
        <v>522</v>
      </c>
      <c r="M259" s="21"/>
      <c r="N259" s="19" t="s">
        <v>803</v>
      </c>
      <c r="O259" s="21" t="s">
        <v>834</v>
      </c>
      <c r="P259" s="3" t="s">
        <v>955</v>
      </c>
    </row>
    <row r="260" spans="8:16" ht="29" hidden="1" x14ac:dyDescent="0.35">
      <c r="I260" s="18">
        <f t="shared" si="3"/>
        <v>258</v>
      </c>
      <c r="J260" s="19" t="s">
        <v>265</v>
      </c>
      <c r="K260" s="20" t="s">
        <v>520</v>
      </c>
      <c r="L260" s="21" t="s">
        <v>524</v>
      </c>
      <c r="M260" s="21"/>
      <c r="N260" s="19" t="s">
        <v>804</v>
      </c>
      <c r="O260" s="21" t="s">
        <v>834</v>
      </c>
      <c r="P260" s="3" t="s">
        <v>955</v>
      </c>
    </row>
    <row r="261" spans="8:16" ht="29" hidden="1" x14ac:dyDescent="0.35">
      <c r="H261" s="13"/>
      <c r="I261" s="18">
        <f t="shared" si="3"/>
        <v>259</v>
      </c>
      <c r="J261" s="19" t="s">
        <v>251</v>
      </c>
      <c r="K261" s="20" t="s">
        <v>506</v>
      </c>
      <c r="L261" s="21" t="s">
        <v>525</v>
      </c>
      <c r="M261" s="21" t="s">
        <v>531</v>
      </c>
      <c r="N261" s="19" t="s">
        <v>790</v>
      </c>
      <c r="O261" s="21" t="s">
        <v>805</v>
      </c>
      <c r="P261" s="3" t="s">
        <v>951</v>
      </c>
    </row>
    <row r="262" spans="8:16" ht="29" hidden="1" x14ac:dyDescent="0.35">
      <c r="H262" s="13"/>
      <c r="I262" s="18">
        <f t="shared" ref="I262:I266" si="4">I261+1</f>
        <v>260</v>
      </c>
      <c r="J262" s="19" t="s">
        <v>252</v>
      </c>
      <c r="K262" s="20" t="s">
        <v>507</v>
      </c>
      <c r="L262" s="21" t="s">
        <v>524</v>
      </c>
      <c r="M262" s="21" t="s">
        <v>532</v>
      </c>
      <c r="N262" s="19" t="s">
        <v>791</v>
      </c>
      <c r="O262" s="21" t="s">
        <v>820</v>
      </c>
      <c r="P262" s="3" t="s">
        <v>951</v>
      </c>
    </row>
    <row r="263" spans="8:16" ht="29" hidden="1" x14ac:dyDescent="0.35">
      <c r="H263" s="13"/>
      <c r="I263" s="18">
        <f t="shared" si="4"/>
        <v>261</v>
      </c>
      <c r="J263" s="19" t="s">
        <v>253</v>
      </c>
      <c r="K263" s="20" t="s">
        <v>508</v>
      </c>
      <c r="L263" s="21" t="s">
        <v>522</v>
      </c>
      <c r="M263" s="21"/>
      <c r="N263" s="19" t="s">
        <v>792</v>
      </c>
      <c r="O263" s="21" t="s">
        <v>814</v>
      </c>
      <c r="P263" s="3" t="s">
        <v>951</v>
      </c>
    </row>
    <row r="264" spans="8:16" ht="29" hidden="1" x14ac:dyDescent="0.35">
      <c r="H264" s="13"/>
      <c r="I264" s="18">
        <f t="shared" si="4"/>
        <v>262</v>
      </c>
      <c r="J264" s="19" t="s">
        <v>199</v>
      </c>
      <c r="K264" s="20" t="s">
        <v>454</v>
      </c>
      <c r="L264" s="21" t="s">
        <v>523</v>
      </c>
      <c r="M264" s="21" t="s">
        <v>531</v>
      </c>
      <c r="N264" s="19" t="s">
        <v>737</v>
      </c>
      <c r="O264" s="21" t="s">
        <v>832</v>
      </c>
      <c r="P264" s="3" t="s">
        <v>934</v>
      </c>
    </row>
    <row r="265" spans="8:16" ht="29" hidden="1" x14ac:dyDescent="0.35">
      <c r="H265" s="13"/>
      <c r="I265" s="18">
        <f t="shared" si="4"/>
        <v>263</v>
      </c>
      <c r="J265" s="19" t="s">
        <v>48</v>
      </c>
      <c r="K265" s="20" t="s">
        <v>303</v>
      </c>
      <c r="L265" s="32" t="s">
        <v>529</v>
      </c>
      <c r="M265" s="21"/>
      <c r="N265" s="19" t="s">
        <v>738</v>
      </c>
      <c r="O265" s="21" t="s">
        <v>805</v>
      </c>
      <c r="P265" s="3" t="s">
        <v>934</v>
      </c>
    </row>
    <row r="266" spans="8:16" ht="29" hidden="1" x14ac:dyDescent="0.35">
      <c r="H266" s="13"/>
      <c r="I266" s="18">
        <f t="shared" si="4"/>
        <v>264</v>
      </c>
      <c r="J266" s="19" t="s">
        <v>200</v>
      </c>
      <c r="K266" s="20" t="s">
        <v>455</v>
      </c>
      <c r="L266" s="21" t="s">
        <v>524</v>
      </c>
      <c r="M266" s="21"/>
      <c r="N266" s="19" t="s">
        <v>739</v>
      </c>
      <c r="O266" s="21" t="s">
        <v>821</v>
      </c>
      <c r="P266" s="3" t="s">
        <v>934</v>
      </c>
    </row>
    <row r="267" spans="8:16" ht="21.5" hidden="1" x14ac:dyDescent="0.9">
      <c r="K267" s="34"/>
    </row>
  </sheetData>
  <autoFilter ref="A1:P267" xr:uid="{FBC00E10-8C59-45F7-B15D-2A0F8F5A3B3E}">
    <filterColumn colId="13">
      <filters>
        <filter val="Asisten Manajer Keuangan, Sumber Daya, dan Umum pada Unit Laboratorium Terpadu Universitas Terbuka"/>
        <filter val="Kepala Laboratorium/Bengkel/Studio pada Fakultas Ekonomi dan Bisnis Universitas Terbuka"/>
        <filter val="Kepala Laboratorium/Bengkel/Studio pada Fakultas Sains dan Teknologi Universitas Terbuka"/>
        <filter val="Koordinator Mata Kuliah Institusi merangkap Kepala Laboratorium/Bengkel/Studio pada Fakultas Keguruan dan Ilmu Pendidikan Universitas Terbuka"/>
        <filter val="Manajer pada Unit Laboratorium Terpadu merangkap Kepala Laboratorium/Bengkel/Studio pada Fakultas Hukum, Ilmu Sosial, dan Ilmu Politik Universitas Terbuka"/>
      </filters>
    </filterColumn>
  </autoFilter>
  <sortState xmlns:xlrd2="http://schemas.microsoft.com/office/spreadsheetml/2017/richdata2" ref="A19:P266">
    <sortCondition ref="P19:P26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5AD3-7E7B-493E-BA88-D51985AA6F49}">
  <dimension ref="A1:V15"/>
  <sheetViews>
    <sheetView tabSelected="1" topLeftCell="I1" zoomScale="70" zoomScaleNormal="70" workbookViewId="0">
      <pane ySplit="1" topLeftCell="A2" activePane="bottomLeft" state="frozen"/>
      <selection activeCell="I1" sqref="I1"/>
      <selection pane="bottomLeft" activeCell="N34" sqref="N34"/>
    </sheetView>
  </sheetViews>
  <sheetFormatPr defaultColWidth="9.1796875" defaultRowHeight="14.5" x14ac:dyDescent="0.35"/>
  <cols>
    <col min="1" max="1" width="0" style="4" hidden="1" customWidth="1"/>
    <col min="2" max="2" width="0" style="3" hidden="1" customWidth="1"/>
    <col min="3" max="3" width="0" style="5" hidden="1" customWidth="1"/>
    <col min="4" max="8" width="0" style="3" hidden="1" customWidth="1"/>
    <col min="9" max="9" width="9.1796875" style="4"/>
    <col min="10" max="10" width="43.54296875" style="8" customWidth="1"/>
    <col min="11" max="11" width="20.453125" style="9" bestFit="1" customWidth="1"/>
    <col min="12" max="12" width="26" style="10" customWidth="1"/>
    <col min="13" max="13" width="20.26953125" style="10" bestFit="1" customWidth="1"/>
    <col min="14" max="14" width="55.26953125" style="8" customWidth="1"/>
    <col min="15" max="15" width="32.54296875" style="10" bestFit="1" customWidth="1"/>
    <col min="16" max="16" width="31" style="3" customWidth="1"/>
    <col min="17" max="17" width="9.1796875" style="3"/>
    <col min="18" max="18" width="22.90625" style="36" bestFit="1" customWidth="1"/>
    <col min="19" max="20" width="9.1796875" style="3"/>
    <col min="21" max="21" width="143.08984375" style="3" bestFit="1" customWidth="1"/>
    <col min="22" max="22" width="76.81640625" style="3" bestFit="1" customWidth="1"/>
    <col min="23" max="16384" width="9.1796875" style="3"/>
  </cols>
  <sheetData>
    <row r="1" spans="1:22" ht="39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1"/>
      <c r="I1" s="16" t="s">
        <v>0</v>
      </c>
      <c r="J1" s="16" t="s">
        <v>1</v>
      </c>
      <c r="K1" s="17" t="s">
        <v>267</v>
      </c>
      <c r="L1" s="16" t="s">
        <v>3</v>
      </c>
      <c r="M1" s="16" t="s">
        <v>4</v>
      </c>
      <c r="N1" s="16" t="s">
        <v>5</v>
      </c>
      <c r="O1" s="16" t="s">
        <v>6</v>
      </c>
      <c r="Q1" s="3" t="s">
        <v>962</v>
      </c>
      <c r="R1" s="36" t="s">
        <v>1019</v>
      </c>
      <c r="S1" s="3" t="s">
        <v>971</v>
      </c>
      <c r="T1" s="3" t="s">
        <v>962</v>
      </c>
      <c r="U1" s="3" t="s">
        <v>1020</v>
      </c>
    </row>
    <row r="2" spans="1:22" x14ac:dyDescent="0.3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2"/>
      <c r="I2" s="18">
        <v>7</v>
      </c>
      <c r="J2" s="19" t="s">
        <v>213</v>
      </c>
      <c r="K2" s="38" t="s">
        <v>468</v>
      </c>
      <c r="L2" s="21" t="s">
        <v>522</v>
      </c>
      <c r="M2" s="21" t="s">
        <v>533</v>
      </c>
      <c r="N2" s="19" t="s">
        <v>752</v>
      </c>
      <c r="O2" s="21" t="s">
        <v>805</v>
      </c>
      <c r="P2" s="3" t="s">
        <v>939</v>
      </c>
      <c r="Q2" s="3">
        <v>3</v>
      </c>
      <c r="R2" s="36" t="s">
        <v>1009</v>
      </c>
      <c r="S2" s="3">
        <v>1035211</v>
      </c>
      <c r="T2" s="3">
        <v>3</v>
      </c>
      <c r="U2" s="3" t="str">
        <f>"UPDATE trx_jabatan_struktural a SET a.nip = '"&amp;K2&amp;"' WHERE a.nip = '"&amp;R2&amp;"' and a.kode_jabatan_struktural ="&amp;S2&amp;";"</f>
        <v>UPDATE trx_jabatan_struktural a SET a.nip = '197610122001122002' WHERE a.nip = '219590905202410201' and a.kode_jabatan_struktural =1035211;</v>
      </c>
      <c r="V2" s="3" t="str">
        <f>"UPDATE trx_ppk a set a.nip = '"&amp;K2&amp;"' WHERE a.kode_trx_ppk = "&amp;Q2&amp;";"</f>
        <v>UPDATE trx_ppk a set a.nip = '197610122001122002' WHERE a.kode_trx_ppk = 3;</v>
      </c>
    </row>
    <row r="3" spans="1:22" x14ac:dyDescent="0.35">
      <c r="H3" s="13"/>
      <c r="I3" s="18">
        <v>5</v>
      </c>
      <c r="J3" s="19" t="s">
        <v>266</v>
      </c>
      <c r="K3" s="38" t="s">
        <v>521</v>
      </c>
      <c r="L3" s="21" t="s">
        <v>526</v>
      </c>
      <c r="M3" s="21" t="s">
        <v>533</v>
      </c>
      <c r="N3" s="19" t="s">
        <v>873</v>
      </c>
      <c r="O3" s="21" t="s">
        <v>878</v>
      </c>
      <c r="P3" s="3" t="s">
        <v>927</v>
      </c>
      <c r="Q3" s="3">
        <v>4</v>
      </c>
      <c r="R3" s="36" t="s">
        <v>998</v>
      </c>
      <c r="S3" s="3">
        <v>1035121</v>
      </c>
      <c r="T3" s="3">
        <v>4</v>
      </c>
      <c r="U3" s="3" t="str">
        <f t="shared" ref="U3:U13" si="0">"UPDATE trx_jabatan_struktural a SET a.nip = '"&amp;K3&amp;"' WHERE a.nip = '"&amp;R3&amp;"' and a.kode_jabatan_struktural ="&amp;S3&amp;";"</f>
        <v>UPDATE trx_jabatan_struktural a SET a.nip = '196109171987031002' WHERE a.nip = '219591218202501101' and a.kode_jabatan_struktural =1035121;</v>
      </c>
      <c r="V3" s="3" t="str">
        <f t="shared" ref="V3:V13" si="1">"UPDATE trx_ppk a set a.nip = '"&amp;K3&amp;"' WHERE a.kode_trx_ppk = "&amp;Q3&amp;";"</f>
        <v>UPDATE trx_ppk a set a.nip = '196109171987031002' WHERE a.kode_trx_ppk = 4;</v>
      </c>
    </row>
    <row r="4" spans="1:22" x14ac:dyDescent="0.35">
      <c r="H4" s="13"/>
      <c r="I4" s="18">
        <v>10</v>
      </c>
      <c r="J4" s="19" t="s">
        <v>191</v>
      </c>
      <c r="K4" s="38" t="s">
        <v>446</v>
      </c>
      <c r="L4" s="21" t="s">
        <v>525</v>
      </c>
      <c r="M4" s="21" t="s">
        <v>533</v>
      </c>
      <c r="N4" s="19" t="s">
        <v>729</v>
      </c>
      <c r="O4" s="26" t="s">
        <v>805</v>
      </c>
      <c r="P4" s="3" t="s">
        <v>932</v>
      </c>
      <c r="Q4" s="3">
        <v>13</v>
      </c>
      <c r="R4" s="36" t="s">
        <v>521</v>
      </c>
      <c r="S4" s="3">
        <v>1035171</v>
      </c>
      <c r="T4" s="3">
        <v>13</v>
      </c>
      <c r="U4" s="3" t="str">
        <f t="shared" si="0"/>
        <v>UPDATE trx_jabatan_struktural a SET a.nip = '198206062008121001' WHERE a.nip = '196109171987031002' and a.kode_jabatan_struktural =1035171;</v>
      </c>
      <c r="V4" s="3" t="str">
        <f t="shared" si="1"/>
        <v>UPDATE trx_ppk a set a.nip = '198206062008121001' WHERE a.kode_trx_ppk = 13;</v>
      </c>
    </row>
    <row r="5" spans="1:22" ht="26" x14ac:dyDescent="0.35">
      <c r="H5" s="13"/>
      <c r="I5" s="18">
        <v>8</v>
      </c>
      <c r="J5" s="22" t="s">
        <v>158</v>
      </c>
      <c r="K5" s="38" t="s">
        <v>413</v>
      </c>
      <c r="L5" s="21" t="s">
        <v>522</v>
      </c>
      <c r="M5" s="24" t="s">
        <v>531</v>
      </c>
      <c r="N5" s="19" t="s">
        <v>696</v>
      </c>
      <c r="O5" s="24" t="s">
        <v>805</v>
      </c>
      <c r="P5" s="3" t="s">
        <v>922</v>
      </c>
      <c r="Q5" s="3">
        <v>16</v>
      </c>
      <c r="R5" s="36" t="s">
        <v>1015</v>
      </c>
      <c r="S5" s="3">
        <v>1035061</v>
      </c>
      <c r="T5" s="3">
        <v>16</v>
      </c>
      <c r="U5" s="3" t="str">
        <f t="shared" si="0"/>
        <v>UPDATE trx_jabatan_struktural a SET a.nip = '197109111999031002' WHERE a.nip = '196208031989032002' and a.kode_jabatan_struktural =1035061;</v>
      </c>
      <c r="V5" s="3" t="str">
        <f t="shared" si="1"/>
        <v>UPDATE trx_ppk a set a.nip = '197109111999031002' WHERE a.kode_trx_ppk = 16;</v>
      </c>
    </row>
    <row r="6" spans="1:22" x14ac:dyDescent="0.35">
      <c r="H6" s="13"/>
      <c r="I6" s="18">
        <v>6</v>
      </c>
      <c r="J6" s="22" t="s">
        <v>226</v>
      </c>
      <c r="K6" s="38" t="s">
        <v>481</v>
      </c>
      <c r="L6" s="21" t="s">
        <v>522</v>
      </c>
      <c r="M6" s="24" t="s">
        <v>533</v>
      </c>
      <c r="N6" s="22" t="s">
        <v>765</v>
      </c>
      <c r="O6" s="24" t="s">
        <v>805</v>
      </c>
      <c r="P6" s="3" t="s">
        <v>943</v>
      </c>
      <c r="Q6" s="3">
        <v>20</v>
      </c>
      <c r="R6" s="36" t="s">
        <v>1012</v>
      </c>
      <c r="S6" s="3">
        <v>1035251</v>
      </c>
      <c r="T6" s="3">
        <v>20</v>
      </c>
      <c r="U6" s="3" t="str">
        <f t="shared" si="0"/>
        <v>UPDATE trx_jabatan_struktural a SET a.nip = '197004301997031002' WHERE a.nip = '196304021987011001' and a.kode_jabatan_struktural =1035251;</v>
      </c>
      <c r="V6" s="3" t="str">
        <f t="shared" si="1"/>
        <v>UPDATE trx_ppk a set a.nip = '197004301997031002' WHERE a.kode_trx_ppk = 20;</v>
      </c>
    </row>
    <row r="7" spans="1:22" x14ac:dyDescent="0.35">
      <c r="I7" s="18">
        <v>11</v>
      </c>
      <c r="J7" s="19" t="s">
        <v>178</v>
      </c>
      <c r="K7" s="38" t="s">
        <v>433</v>
      </c>
      <c r="L7" s="21" t="s">
        <v>525</v>
      </c>
      <c r="M7" s="21" t="s">
        <v>533</v>
      </c>
      <c r="N7" s="19" t="s">
        <v>716</v>
      </c>
      <c r="O7" s="21" t="s">
        <v>805</v>
      </c>
      <c r="P7" s="3" t="s">
        <v>928</v>
      </c>
      <c r="Q7" s="3">
        <v>22</v>
      </c>
      <c r="R7" s="36" t="s">
        <v>1001</v>
      </c>
      <c r="S7" s="3">
        <v>1090001</v>
      </c>
      <c r="T7" s="3">
        <v>22</v>
      </c>
      <c r="U7" s="3" t="str">
        <f t="shared" si="0"/>
        <v>UPDATE trx_jabatan_struktural a SET a.nip = '197708232008011012' WHERE a.nip = '196305091989031002' and a.kode_jabatan_struktural =1090001;</v>
      </c>
      <c r="V7" s="3" t="str">
        <f t="shared" si="1"/>
        <v>UPDATE trx_ppk a set a.nip = '197708232008011012' WHERE a.kode_trx_ppk = 22;</v>
      </c>
    </row>
    <row r="8" spans="1:22" x14ac:dyDescent="0.35">
      <c r="H8" s="13"/>
      <c r="I8" s="18">
        <v>12</v>
      </c>
      <c r="J8" s="19" t="s">
        <v>195</v>
      </c>
      <c r="K8" s="38" t="s">
        <v>450</v>
      </c>
      <c r="L8" s="21" t="s">
        <v>526</v>
      </c>
      <c r="M8" s="21" t="s">
        <v>533</v>
      </c>
      <c r="N8" s="19" t="s">
        <v>733</v>
      </c>
      <c r="O8" s="21" t="s">
        <v>805</v>
      </c>
      <c r="P8" s="3" t="s">
        <v>933</v>
      </c>
      <c r="Q8" s="3">
        <v>23</v>
      </c>
      <c r="R8" s="36" t="s">
        <v>1006</v>
      </c>
      <c r="S8" s="3">
        <v>1035181</v>
      </c>
      <c r="T8" s="3">
        <v>23</v>
      </c>
      <c r="U8" s="3" t="str">
        <f t="shared" si="0"/>
        <v>UPDATE trx_jabatan_struktural a SET a.nip = '196605081992031003' WHERE a.nip = '196307161991032002' and a.kode_jabatan_struktural =1035181;</v>
      </c>
      <c r="V8" s="3" t="str">
        <f t="shared" si="1"/>
        <v>UPDATE trx_ppk a set a.nip = '196605081992031003' WHERE a.kode_trx_ppk = 23;</v>
      </c>
    </row>
    <row r="9" spans="1:22" ht="26" x14ac:dyDescent="0.35">
      <c r="H9" s="13"/>
      <c r="I9" s="18">
        <v>2</v>
      </c>
      <c r="J9" s="19" t="s">
        <v>87</v>
      </c>
      <c r="K9" s="20" t="s">
        <v>342</v>
      </c>
      <c r="L9" s="21" t="s">
        <v>525</v>
      </c>
      <c r="M9" s="21"/>
      <c r="N9" s="19" t="s">
        <v>624</v>
      </c>
      <c r="O9" s="21" t="s">
        <v>805</v>
      </c>
      <c r="P9" s="3" t="s">
        <v>899</v>
      </c>
      <c r="Q9" s="3">
        <v>42</v>
      </c>
      <c r="R9" s="37" t="s">
        <v>413</v>
      </c>
      <c r="S9" s="10">
        <v>1044001</v>
      </c>
      <c r="T9" s="3">
        <v>42</v>
      </c>
      <c r="U9" s="3" t="str">
        <f t="shared" si="0"/>
        <v>UPDATE trx_jabatan_struktural a SET a.nip = '197407182003121001' WHERE a.nip = '197109111999031002' and a.kode_jabatan_struktural =1044001;</v>
      </c>
      <c r="V9" s="3" t="str">
        <f t="shared" si="1"/>
        <v>UPDATE trx_ppk a set a.nip = '197407182003121001' WHERE a.kode_trx_ppk = 42;</v>
      </c>
    </row>
    <row r="10" spans="1:22" x14ac:dyDescent="0.35">
      <c r="H10" s="13"/>
      <c r="I10" s="18">
        <v>9</v>
      </c>
      <c r="J10" s="19" t="s">
        <v>162</v>
      </c>
      <c r="K10" s="20" t="s">
        <v>417</v>
      </c>
      <c r="L10" s="21" t="s">
        <v>522</v>
      </c>
      <c r="M10" s="21" t="s">
        <v>531</v>
      </c>
      <c r="N10" s="22" t="s">
        <v>700</v>
      </c>
      <c r="O10" s="21" t="s">
        <v>805</v>
      </c>
      <c r="P10" s="3" t="s">
        <v>923</v>
      </c>
      <c r="Q10" s="3">
        <v>68</v>
      </c>
      <c r="R10" s="37" t="s">
        <v>446</v>
      </c>
      <c r="S10" s="10">
        <v>1035071</v>
      </c>
      <c r="T10" s="3">
        <v>68</v>
      </c>
      <c r="U10" s="3" t="str">
        <f t="shared" si="0"/>
        <v>UPDATE trx_jabatan_struktural a SET a.nip = '196611231991031003' WHERE a.nip = '198206062008121001' and a.kode_jabatan_struktural =1035071;</v>
      </c>
      <c r="V10" s="3" t="str">
        <f t="shared" si="1"/>
        <v>UPDATE trx_ppk a set a.nip = '196611231991031003' WHERE a.kode_trx_ppk = 68;</v>
      </c>
    </row>
    <row r="11" spans="1:22" ht="26" x14ac:dyDescent="0.35">
      <c r="H11" s="13"/>
      <c r="I11" s="18">
        <v>4</v>
      </c>
      <c r="J11" s="19" t="s">
        <v>59</v>
      </c>
      <c r="K11" s="20" t="s">
        <v>314</v>
      </c>
      <c r="L11" s="21" t="s">
        <v>526</v>
      </c>
      <c r="M11" s="21" t="s">
        <v>533</v>
      </c>
      <c r="N11" s="19" t="s">
        <v>595</v>
      </c>
      <c r="O11" s="21" t="s">
        <v>805</v>
      </c>
      <c r="P11" s="3" t="s">
        <v>889</v>
      </c>
      <c r="Q11" s="3">
        <v>90</v>
      </c>
      <c r="R11" s="37" t="s">
        <v>995</v>
      </c>
      <c r="S11" s="10">
        <v>1015001</v>
      </c>
      <c r="T11" s="3">
        <v>90</v>
      </c>
      <c r="U11" s="3" t="str">
        <f t="shared" si="0"/>
        <v>UPDATE trx_jabatan_struktural a SET a.nip = '196606191992031002' WHERE a.nip = '196201311988122001' and a.kode_jabatan_struktural =1015001;</v>
      </c>
      <c r="V11" s="3" t="str">
        <f t="shared" si="1"/>
        <v>UPDATE trx_ppk a set a.nip = '196606191992031002' WHERE a.kode_trx_ppk = 90;</v>
      </c>
    </row>
    <row r="12" spans="1:22" ht="26" x14ac:dyDescent="0.35">
      <c r="H12" s="13"/>
      <c r="I12" s="18">
        <v>1</v>
      </c>
      <c r="J12" s="19" t="s">
        <v>75</v>
      </c>
      <c r="K12" s="20" t="s">
        <v>330</v>
      </c>
      <c r="L12" s="21" t="s">
        <v>525</v>
      </c>
      <c r="M12" s="21" t="s">
        <v>533</v>
      </c>
      <c r="N12" s="19" t="s">
        <v>612</v>
      </c>
      <c r="O12" s="21" t="s">
        <v>805</v>
      </c>
      <c r="P12" s="3" t="s">
        <v>895</v>
      </c>
      <c r="Q12" s="3">
        <v>92</v>
      </c>
      <c r="R12" s="37" t="s">
        <v>450</v>
      </c>
      <c r="S12" s="10">
        <v>1023001</v>
      </c>
      <c r="T12" s="3">
        <v>92</v>
      </c>
      <c r="U12" s="3" t="str">
        <f t="shared" si="0"/>
        <v>UPDATE trx_jabatan_struktural a SET a.nip = '197403122000031001' WHERE a.nip = '196605081992031003' and a.kode_jabatan_struktural =1023001;</v>
      </c>
      <c r="V12" s="3" t="str">
        <f t="shared" si="1"/>
        <v>UPDATE trx_ppk a set a.nip = '197403122000031001' WHERE a.kode_trx_ppk = 92;</v>
      </c>
    </row>
    <row r="13" spans="1:22" ht="29" x14ac:dyDescent="0.35">
      <c r="H13" s="13"/>
      <c r="I13" s="18">
        <v>3</v>
      </c>
      <c r="J13" s="19" t="s">
        <v>91</v>
      </c>
      <c r="K13" s="20" t="s">
        <v>346</v>
      </c>
      <c r="L13" s="21"/>
      <c r="M13" s="21"/>
      <c r="N13" s="19" t="s">
        <v>629</v>
      </c>
      <c r="O13" s="21" t="s">
        <v>827</v>
      </c>
      <c r="P13" s="3" t="s">
        <v>900</v>
      </c>
      <c r="Q13" s="3">
        <v>176</v>
      </c>
      <c r="R13" s="37" t="s">
        <v>346</v>
      </c>
      <c r="S13" s="10">
        <v>1043001</v>
      </c>
      <c r="T13" s="3">
        <v>176</v>
      </c>
      <c r="U13" s="3" t="str">
        <f t="shared" si="0"/>
        <v>UPDATE trx_jabatan_struktural a SET a.nip = '219801028202308101' WHERE a.nip = '219801028202308101' and a.kode_jabatan_struktural =1043001;</v>
      </c>
      <c r="V13" s="3" t="str">
        <f t="shared" si="1"/>
        <v>UPDATE trx_ppk a set a.nip = '219801028202308101' WHERE a.kode_trx_ppk = 176;</v>
      </c>
    </row>
    <row r="14" spans="1:22" ht="13" x14ac:dyDescent="0.35">
      <c r="H14" s="13"/>
      <c r="I14" s="1" t="s">
        <v>7</v>
      </c>
      <c r="J14" s="1" t="s">
        <v>8</v>
      </c>
      <c r="K14" s="2" t="s">
        <v>9</v>
      </c>
      <c r="L14" s="1" t="s">
        <v>10</v>
      </c>
      <c r="M14" s="1" t="s">
        <v>11</v>
      </c>
      <c r="N14" s="1" t="s">
        <v>12</v>
      </c>
      <c r="O14" s="1" t="s">
        <v>13</v>
      </c>
    </row>
    <row r="15" spans="1:22" ht="21.5" x14ac:dyDescent="0.9">
      <c r="K15" s="34"/>
    </row>
  </sheetData>
  <autoFilter ref="I1:Q14" xr:uid="{DD065AD3-7E7B-493E-BA88-D51985AA6F49}">
    <sortState xmlns:xlrd2="http://schemas.microsoft.com/office/spreadsheetml/2017/richdata2" ref="I2:Q14">
      <sortCondition ref="Q1:Q14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CF0F-ABE2-4107-9EED-F22D99937B1F}">
  <dimension ref="A1:W8"/>
  <sheetViews>
    <sheetView workbookViewId="0">
      <selection sqref="A1:W8"/>
    </sheetView>
  </sheetViews>
  <sheetFormatPr defaultRowHeight="14.5" x14ac:dyDescent="0.35"/>
  <sheetData>
    <row r="1" spans="1:23" x14ac:dyDescent="0.35">
      <c r="A1" t="s">
        <v>964</v>
      </c>
      <c r="B1" t="s">
        <v>970</v>
      </c>
      <c r="C1" t="s">
        <v>971</v>
      </c>
      <c r="D1" t="s">
        <v>972</v>
      </c>
      <c r="E1" t="s">
        <v>973</v>
      </c>
      <c r="F1" t="s">
        <v>974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966</v>
      </c>
      <c r="M1" t="s">
        <v>968</v>
      </c>
      <c r="N1" t="s">
        <v>967</v>
      </c>
      <c r="O1" t="s">
        <v>969</v>
      </c>
      <c r="P1" t="s">
        <v>962</v>
      </c>
      <c r="Q1" t="s">
        <v>963</v>
      </c>
      <c r="R1" t="s">
        <v>964</v>
      </c>
      <c r="S1" t="s">
        <v>965</v>
      </c>
      <c r="T1" t="s">
        <v>966</v>
      </c>
      <c r="U1" t="s">
        <v>967</v>
      </c>
      <c r="V1" t="s">
        <v>968</v>
      </c>
      <c r="W1" t="s">
        <v>969</v>
      </c>
    </row>
    <row r="2" spans="1:23" x14ac:dyDescent="0.35">
      <c r="A2">
        <v>2.1959121820250099E+17</v>
      </c>
      <c r="B2" t="s">
        <v>987</v>
      </c>
      <c r="C2">
        <v>1035121</v>
      </c>
      <c r="D2">
        <v>1</v>
      </c>
      <c r="E2">
        <v>1</v>
      </c>
      <c r="F2" t="s">
        <v>987</v>
      </c>
      <c r="G2" t="s">
        <v>987</v>
      </c>
      <c r="H2" t="s">
        <v>987</v>
      </c>
      <c r="I2" t="s">
        <v>987</v>
      </c>
      <c r="J2">
        <v>0</v>
      </c>
      <c r="K2">
        <v>0</v>
      </c>
      <c r="L2" t="s">
        <v>987</v>
      </c>
      <c r="M2" s="35">
        <v>45061.367974537039</v>
      </c>
      <c r="N2" t="s">
        <v>987</v>
      </c>
      <c r="O2" s="35">
        <v>45061.37060185185</v>
      </c>
      <c r="P2">
        <v>4</v>
      </c>
      <c r="Q2" t="s">
        <v>997</v>
      </c>
      <c r="R2">
        <v>2.1959121820250099E+17</v>
      </c>
      <c r="S2">
        <v>0</v>
      </c>
      <c r="T2" t="s">
        <v>987</v>
      </c>
      <c r="U2" t="s">
        <v>987</v>
      </c>
      <c r="V2" s="35">
        <v>44971.205717592595</v>
      </c>
      <c r="W2" s="35">
        <v>45061.373344907406</v>
      </c>
    </row>
    <row r="3" spans="1:23" x14ac:dyDescent="0.35">
      <c r="A3">
        <v>2.1959090520240998E+17</v>
      </c>
      <c r="B3" t="s">
        <v>987</v>
      </c>
      <c r="C3">
        <v>1035211</v>
      </c>
      <c r="D3">
        <v>1</v>
      </c>
      <c r="E3">
        <v>1</v>
      </c>
      <c r="F3" t="s">
        <v>987</v>
      </c>
      <c r="G3" t="s">
        <v>987</v>
      </c>
      <c r="H3" t="s">
        <v>987</v>
      </c>
      <c r="I3" t="s">
        <v>987</v>
      </c>
      <c r="J3">
        <v>0</v>
      </c>
      <c r="K3">
        <v>0</v>
      </c>
      <c r="L3" t="s">
        <v>987</v>
      </c>
      <c r="M3" s="35">
        <v>45061.367974537039</v>
      </c>
      <c r="N3" t="s">
        <v>987</v>
      </c>
      <c r="O3" s="35">
        <v>45061.37060185185</v>
      </c>
      <c r="P3">
        <v>3</v>
      </c>
      <c r="Q3" t="s">
        <v>1008</v>
      </c>
      <c r="R3">
        <v>2.1959090520240998E+17</v>
      </c>
      <c r="S3">
        <v>0</v>
      </c>
      <c r="T3" t="s">
        <v>987</v>
      </c>
      <c r="U3" t="s">
        <v>987</v>
      </c>
      <c r="V3" s="35">
        <v>44971.205717592595</v>
      </c>
      <c r="W3" s="35">
        <v>45061.373344907406</v>
      </c>
    </row>
    <row r="4" spans="1:23" x14ac:dyDescent="0.35">
      <c r="A4">
        <v>1.96307161991032E+17</v>
      </c>
      <c r="B4" t="s">
        <v>987</v>
      </c>
      <c r="C4">
        <v>1035181</v>
      </c>
      <c r="D4">
        <v>1</v>
      </c>
      <c r="E4">
        <v>1</v>
      </c>
      <c r="F4" t="s">
        <v>987</v>
      </c>
      <c r="G4" t="s">
        <v>987</v>
      </c>
      <c r="H4" t="s">
        <v>987</v>
      </c>
      <c r="I4" t="s">
        <v>987</v>
      </c>
      <c r="J4">
        <v>0</v>
      </c>
      <c r="K4">
        <v>0</v>
      </c>
      <c r="L4" t="s">
        <v>987</v>
      </c>
      <c r="M4" s="35">
        <v>45061.367974537039</v>
      </c>
      <c r="N4" t="s">
        <v>987</v>
      </c>
      <c r="O4" s="35">
        <v>45061.37060185185</v>
      </c>
      <c r="P4">
        <v>23</v>
      </c>
      <c r="Q4" t="s">
        <v>1005</v>
      </c>
      <c r="R4">
        <v>1.96307161991032E+17</v>
      </c>
      <c r="S4">
        <v>0</v>
      </c>
      <c r="T4" t="s">
        <v>987</v>
      </c>
      <c r="U4" t="s">
        <v>987</v>
      </c>
      <c r="V4" s="35">
        <v>44971.205729166664</v>
      </c>
      <c r="W4" s="35">
        <v>45061.373344907406</v>
      </c>
    </row>
    <row r="5" spans="1:23" x14ac:dyDescent="0.35">
      <c r="A5">
        <v>1.9630509198903101E+17</v>
      </c>
      <c r="B5" t="s">
        <v>987</v>
      </c>
      <c r="C5">
        <v>1090001</v>
      </c>
      <c r="D5">
        <v>1</v>
      </c>
      <c r="E5">
        <v>1</v>
      </c>
      <c r="F5" t="s">
        <v>987</v>
      </c>
      <c r="G5" t="s">
        <v>987</v>
      </c>
      <c r="H5" t="s">
        <v>987</v>
      </c>
      <c r="I5" t="s">
        <v>987</v>
      </c>
      <c r="J5">
        <v>0</v>
      </c>
      <c r="K5">
        <v>0</v>
      </c>
      <c r="L5" t="s">
        <v>987</v>
      </c>
      <c r="M5" s="35">
        <v>45061.367974537039</v>
      </c>
      <c r="N5" t="s">
        <v>987</v>
      </c>
      <c r="O5" s="35">
        <v>45061.37060185185</v>
      </c>
      <c r="P5">
        <v>22</v>
      </c>
      <c r="Q5" t="s">
        <v>1000</v>
      </c>
      <c r="R5">
        <v>1.9630509198903101E+17</v>
      </c>
      <c r="S5">
        <v>0</v>
      </c>
      <c r="T5" t="s">
        <v>987</v>
      </c>
      <c r="U5" t="s">
        <v>987</v>
      </c>
      <c r="V5" s="35">
        <v>44971.205729166664</v>
      </c>
      <c r="W5" s="35">
        <v>45061.373344907406</v>
      </c>
    </row>
    <row r="6" spans="1:23" x14ac:dyDescent="0.35">
      <c r="A6">
        <v>1.9630402198701101E+17</v>
      </c>
      <c r="B6" t="s">
        <v>987</v>
      </c>
      <c r="C6">
        <v>1035251</v>
      </c>
      <c r="D6">
        <v>1</v>
      </c>
      <c r="E6">
        <v>1</v>
      </c>
      <c r="F6" t="s">
        <v>987</v>
      </c>
      <c r="G6" t="s">
        <v>987</v>
      </c>
      <c r="H6" t="s">
        <v>987</v>
      </c>
      <c r="I6" t="s">
        <v>987</v>
      </c>
      <c r="J6">
        <v>0</v>
      </c>
      <c r="K6">
        <v>2</v>
      </c>
      <c r="L6" t="s">
        <v>987</v>
      </c>
      <c r="M6" s="35">
        <v>45061.367974537039</v>
      </c>
      <c r="N6" t="s">
        <v>987</v>
      </c>
      <c r="O6" s="35">
        <v>45069.291493055556</v>
      </c>
      <c r="P6">
        <v>20</v>
      </c>
      <c r="Q6" t="s">
        <v>1011</v>
      </c>
      <c r="R6">
        <v>1.9630402198701101E+17</v>
      </c>
      <c r="S6">
        <v>0</v>
      </c>
      <c r="T6" t="s">
        <v>987</v>
      </c>
      <c r="U6" t="s">
        <v>987</v>
      </c>
      <c r="V6" s="35">
        <v>44971.205729166664</v>
      </c>
      <c r="W6" s="35">
        <v>45061.373344907406</v>
      </c>
    </row>
    <row r="7" spans="1:23" x14ac:dyDescent="0.35">
      <c r="A7">
        <v>1.96208031989032E+17</v>
      </c>
      <c r="B7" t="s">
        <v>987</v>
      </c>
      <c r="C7">
        <v>1035061</v>
      </c>
      <c r="D7">
        <v>1</v>
      </c>
      <c r="E7">
        <v>1</v>
      </c>
      <c r="F7" t="s">
        <v>987</v>
      </c>
      <c r="G7" t="s">
        <v>987</v>
      </c>
      <c r="H7" t="s">
        <v>987</v>
      </c>
      <c r="I7" t="s">
        <v>987</v>
      </c>
      <c r="J7">
        <v>0</v>
      </c>
      <c r="K7">
        <v>0</v>
      </c>
      <c r="L7" t="s">
        <v>987</v>
      </c>
      <c r="M7" s="35">
        <v>45061.367974537039</v>
      </c>
      <c r="N7" t="s">
        <v>987</v>
      </c>
      <c r="O7" s="35">
        <v>45061.37060185185</v>
      </c>
      <c r="P7">
        <v>16</v>
      </c>
      <c r="Q7" t="s">
        <v>1014</v>
      </c>
      <c r="R7">
        <v>1.96208031989032E+17</v>
      </c>
      <c r="S7">
        <v>0</v>
      </c>
      <c r="T7" t="s">
        <v>987</v>
      </c>
      <c r="U7" t="s">
        <v>987</v>
      </c>
      <c r="V7" s="35">
        <v>44971.205729166664</v>
      </c>
      <c r="W7" s="35">
        <v>45061.373344907406</v>
      </c>
    </row>
    <row r="8" spans="1:23" x14ac:dyDescent="0.35">
      <c r="A8">
        <v>1.9610917198703101E+17</v>
      </c>
      <c r="B8" t="s">
        <v>987</v>
      </c>
      <c r="C8">
        <v>1035171</v>
      </c>
      <c r="D8">
        <v>1</v>
      </c>
      <c r="E8">
        <v>1</v>
      </c>
      <c r="F8" t="s">
        <v>987</v>
      </c>
      <c r="G8" t="s">
        <v>987</v>
      </c>
      <c r="H8" t="s">
        <v>987</v>
      </c>
      <c r="I8" t="s">
        <v>987</v>
      </c>
      <c r="J8">
        <v>0</v>
      </c>
      <c r="K8">
        <v>0</v>
      </c>
      <c r="L8" t="s">
        <v>987</v>
      </c>
      <c r="M8" s="35">
        <v>45061.367974537039</v>
      </c>
      <c r="N8" t="s">
        <v>987</v>
      </c>
      <c r="O8" s="35">
        <v>45061.37060185185</v>
      </c>
      <c r="P8">
        <v>13</v>
      </c>
      <c r="Q8" t="s">
        <v>1003</v>
      </c>
      <c r="R8">
        <v>1.9610917198703101E+17</v>
      </c>
      <c r="S8">
        <v>0</v>
      </c>
      <c r="T8" t="s">
        <v>987</v>
      </c>
      <c r="U8" t="s">
        <v>987</v>
      </c>
      <c r="V8" s="35">
        <v>44971.205729166664</v>
      </c>
      <c r="W8" s="35">
        <v>45061.373344907406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EA93-45B2-4D5D-B611-EE416033E908}">
  <dimension ref="A1:AJ13"/>
  <sheetViews>
    <sheetView workbookViewId="0">
      <selection activeCell="F16" sqref="F16"/>
    </sheetView>
  </sheetViews>
  <sheetFormatPr defaultRowHeight="14.5" x14ac:dyDescent="0.35"/>
  <sheetData>
    <row r="1" spans="1:36" x14ac:dyDescent="0.35">
      <c r="A1" t="s">
        <v>962</v>
      </c>
      <c r="B1" t="s">
        <v>963</v>
      </c>
      <c r="C1" t="s">
        <v>964</v>
      </c>
      <c r="D1" t="s">
        <v>965</v>
      </c>
      <c r="E1" t="s">
        <v>966</v>
      </c>
      <c r="F1" t="s">
        <v>967</v>
      </c>
      <c r="G1" t="s">
        <v>968</v>
      </c>
      <c r="H1" t="s">
        <v>969</v>
      </c>
      <c r="I1" t="s">
        <v>964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  <c r="R1" t="s">
        <v>978</v>
      </c>
      <c r="S1" t="s">
        <v>979</v>
      </c>
      <c r="T1" t="s">
        <v>966</v>
      </c>
      <c r="U1" t="s">
        <v>968</v>
      </c>
      <c r="V1" t="s">
        <v>967</v>
      </c>
      <c r="W1" t="s">
        <v>969</v>
      </c>
      <c r="X1" t="s">
        <v>971</v>
      </c>
      <c r="Y1" t="s">
        <v>980</v>
      </c>
      <c r="Z1" t="s">
        <v>981</v>
      </c>
      <c r="AA1" t="s">
        <v>982</v>
      </c>
      <c r="AB1" t="s">
        <v>963</v>
      </c>
      <c r="AC1" t="s">
        <v>983</v>
      </c>
      <c r="AD1" t="s">
        <v>974</v>
      </c>
      <c r="AE1" t="s">
        <v>984</v>
      </c>
      <c r="AF1" t="s">
        <v>966</v>
      </c>
      <c r="AG1" t="s">
        <v>967</v>
      </c>
      <c r="AH1" t="s">
        <v>968</v>
      </c>
      <c r="AI1" t="s">
        <v>969</v>
      </c>
      <c r="AJ1" t="s">
        <v>985</v>
      </c>
    </row>
    <row r="2" spans="1:36" x14ac:dyDescent="0.35">
      <c r="A2">
        <v>42</v>
      </c>
      <c r="B2" t="s">
        <v>986</v>
      </c>
      <c r="C2">
        <v>1.9710911199903101E+17</v>
      </c>
      <c r="D2">
        <v>0</v>
      </c>
      <c r="E2" t="s">
        <v>987</v>
      </c>
      <c r="F2" t="s">
        <v>987</v>
      </c>
      <c r="G2" s="35">
        <v>44971.205729166664</v>
      </c>
      <c r="H2" s="35">
        <v>45061.373344907406</v>
      </c>
      <c r="I2">
        <v>1.9710911199903101E+17</v>
      </c>
      <c r="J2" t="s">
        <v>987</v>
      </c>
      <c r="K2">
        <v>1044001</v>
      </c>
      <c r="L2">
        <v>1</v>
      </c>
      <c r="M2">
        <v>1</v>
      </c>
      <c r="N2" t="s">
        <v>987</v>
      </c>
      <c r="O2" t="s">
        <v>987</v>
      </c>
      <c r="P2" t="s">
        <v>987</v>
      </c>
      <c r="Q2" t="s">
        <v>987</v>
      </c>
      <c r="R2">
        <v>0</v>
      </c>
      <c r="S2">
        <v>0</v>
      </c>
      <c r="T2" t="s">
        <v>987</v>
      </c>
      <c r="U2" s="35">
        <v>45061.367974537039</v>
      </c>
      <c r="V2" t="s">
        <v>987</v>
      </c>
      <c r="W2" s="35">
        <v>45061.37060185185</v>
      </c>
      <c r="X2">
        <v>1044001</v>
      </c>
      <c r="Y2" t="s">
        <v>988</v>
      </c>
      <c r="Z2">
        <v>1040001</v>
      </c>
      <c r="AA2" t="s">
        <v>987</v>
      </c>
      <c r="AB2" t="s">
        <v>989</v>
      </c>
      <c r="AC2">
        <v>1</v>
      </c>
      <c r="AD2" t="s">
        <v>987</v>
      </c>
      <c r="AE2" t="s">
        <v>987</v>
      </c>
      <c r="AF2" t="s">
        <v>987</v>
      </c>
      <c r="AG2" t="s">
        <v>987</v>
      </c>
      <c r="AH2" s="35">
        <v>45061.141458333332</v>
      </c>
      <c r="AI2" s="35">
        <v>45062.195752314816</v>
      </c>
      <c r="AJ2" t="s">
        <v>987</v>
      </c>
    </row>
    <row r="3" spans="1:36" x14ac:dyDescent="0.35">
      <c r="A3">
        <v>176</v>
      </c>
      <c r="B3" t="s">
        <v>990</v>
      </c>
      <c r="C3">
        <v>2.19801028202308E+17</v>
      </c>
      <c r="D3">
        <v>1</v>
      </c>
      <c r="E3" t="s">
        <v>987</v>
      </c>
      <c r="F3" t="s">
        <v>987</v>
      </c>
      <c r="G3" s="35">
        <v>45203.077060185184</v>
      </c>
      <c r="H3" t="s">
        <v>987</v>
      </c>
      <c r="I3">
        <v>2.19801028202308E+17</v>
      </c>
      <c r="J3" t="s">
        <v>987</v>
      </c>
      <c r="K3">
        <v>1043001</v>
      </c>
      <c r="L3">
        <v>1</v>
      </c>
      <c r="M3">
        <v>1</v>
      </c>
      <c r="N3" t="s">
        <v>987</v>
      </c>
      <c r="O3" t="s">
        <v>987</v>
      </c>
      <c r="P3" t="s">
        <v>987</v>
      </c>
      <c r="Q3" t="s">
        <v>987</v>
      </c>
      <c r="R3">
        <v>0</v>
      </c>
      <c r="S3">
        <v>0</v>
      </c>
      <c r="T3" t="s">
        <v>987</v>
      </c>
      <c r="U3" s="35">
        <v>45203.076539351852</v>
      </c>
      <c r="V3" t="s">
        <v>987</v>
      </c>
      <c r="W3" t="s">
        <v>987</v>
      </c>
      <c r="X3">
        <v>1043001</v>
      </c>
      <c r="Y3" t="s">
        <v>991</v>
      </c>
      <c r="Z3">
        <v>1040001</v>
      </c>
      <c r="AA3" t="s">
        <v>987</v>
      </c>
      <c r="AB3" t="s">
        <v>990</v>
      </c>
      <c r="AC3">
        <v>1</v>
      </c>
      <c r="AD3" t="s">
        <v>987</v>
      </c>
      <c r="AE3" t="s">
        <v>987</v>
      </c>
      <c r="AF3" t="s">
        <v>987</v>
      </c>
      <c r="AG3" t="s">
        <v>987</v>
      </c>
      <c r="AH3" s="35">
        <v>45061.141458333332</v>
      </c>
      <c r="AI3" s="35">
        <v>45342.279421296298</v>
      </c>
      <c r="AJ3" t="s">
        <v>987</v>
      </c>
    </row>
    <row r="4" spans="1:36" x14ac:dyDescent="0.35">
      <c r="A4">
        <v>92</v>
      </c>
      <c r="B4" t="s">
        <v>992</v>
      </c>
      <c r="C4">
        <v>1.9660508199203101E+17</v>
      </c>
      <c r="D4">
        <v>1</v>
      </c>
      <c r="E4" t="s">
        <v>987</v>
      </c>
      <c r="F4" t="s">
        <v>987</v>
      </c>
      <c r="G4" s="35">
        <v>45061.377488425926</v>
      </c>
      <c r="H4" s="35">
        <v>45061.377916666665</v>
      </c>
      <c r="I4">
        <v>1.9660508199203101E+17</v>
      </c>
      <c r="J4" t="s">
        <v>987</v>
      </c>
      <c r="K4">
        <v>1023001</v>
      </c>
      <c r="L4">
        <v>1</v>
      </c>
      <c r="M4">
        <v>1</v>
      </c>
      <c r="N4" t="s">
        <v>987</v>
      </c>
      <c r="O4" t="s">
        <v>987</v>
      </c>
      <c r="P4" t="s">
        <v>987</v>
      </c>
      <c r="Q4" t="s">
        <v>987</v>
      </c>
      <c r="R4">
        <v>0</v>
      </c>
      <c r="S4">
        <v>0</v>
      </c>
      <c r="T4" t="s">
        <v>987</v>
      </c>
      <c r="U4" s="35">
        <v>45061.367974537039</v>
      </c>
      <c r="V4" t="s">
        <v>987</v>
      </c>
      <c r="W4" s="35">
        <v>45061.37060185185</v>
      </c>
      <c r="X4">
        <v>1023001</v>
      </c>
      <c r="Y4" t="s">
        <v>988</v>
      </c>
      <c r="Z4">
        <v>1020001</v>
      </c>
      <c r="AA4" t="s">
        <v>987</v>
      </c>
      <c r="AB4" t="s">
        <v>993</v>
      </c>
      <c r="AC4">
        <v>1</v>
      </c>
      <c r="AD4" t="s">
        <v>987</v>
      </c>
      <c r="AE4" t="s">
        <v>987</v>
      </c>
      <c r="AF4" t="s">
        <v>987</v>
      </c>
      <c r="AG4" t="s">
        <v>987</v>
      </c>
      <c r="AH4" s="35">
        <v>45061.141458333332</v>
      </c>
      <c r="AI4" s="35">
        <v>45062.195752314816</v>
      </c>
      <c r="AJ4" t="s">
        <v>987</v>
      </c>
    </row>
    <row r="5" spans="1:36" x14ac:dyDescent="0.35">
      <c r="A5">
        <v>90</v>
      </c>
      <c r="B5" t="s">
        <v>994</v>
      </c>
      <c r="C5">
        <v>1.9620131198812198E+17</v>
      </c>
      <c r="D5">
        <v>1</v>
      </c>
      <c r="E5" t="s">
        <v>987</v>
      </c>
      <c r="F5" t="s">
        <v>987</v>
      </c>
      <c r="G5" s="35">
        <v>45061.377488425926</v>
      </c>
      <c r="H5" s="35">
        <v>45061.377916666665</v>
      </c>
      <c r="I5">
        <v>1.9620131198812198E+17</v>
      </c>
      <c r="J5" t="s">
        <v>987</v>
      </c>
      <c r="K5">
        <v>1015001</v>
      </c>
      <c r="L5">
        <v>1</v>
      </c>
      <c r="M5">
        <v>1</v>
      </c>
      <c r="N5" t="s">
        <v>987</v>
      </c>
      <c r="O5" t="s">
        <v>987</v>
      </c>
      <c r="P5" t="s">
        <v>987</v>
      </c>
      <c r="Q5" t="s">
        <v>987</v>
      </c>
      <c r="R5">
        <v>0</v>
      </c>
      <c r="S5">
        <v>0</v>
      </c>
      <c r="T5" t="s">
        <v>987</v>
      </c>
      <c r="U5" s="35">
        <v>45061.367974537039</v>
      </c>
      <c r="V5" t="s">
        <v>987</v>
      </c>
      <c r="W5" s="35">
        <v>45061.37060185185</v>
      </c>
      <c r="X5">
        <v>1015001</v>
      </c>
      <c r="Y5" t="s">
        <v>996</v>
      </c>
      <c r="Z5">
        <v>1010001</v>
      </c>
      <c r="AA5" t="s">
        <v>987</v>
      </c>
      <c r="AB5" t="s">
        <v>994</v>
      </c>
      <c r="AC5">
        <v>1</v>
      </c>
      <c r="AD5" t="s">
        <v>987</v>
      </c>
      <c r="AE5" t="s">
        <v>987</v>
      </c>
      <c r="AF5" t="s">
        <v>987</v>
      </c>
      <c r="AG5" t="s">
        <v>987</v>
      </c>
      <c r="AH5" s="35">
        <v>45059.339872685188</v>
      </c>
      <c r="AI5" s="35">
        <v>45128.390011574076</v>
      </c>
      <c r="AJ5" t="s">
        <v>987</v>
      </c>
    </row>
    <row r="6" spans="1:36" x14ac:dyDescent="0.35">
      <c r="A6">
        <v>4</v>
      </c>
      <c r="B6" t="s">
        <v>997</v>
      </c>
      <c r="C6">
        <v>2.1959121820250099E+17</v>
      </c>
      <c r="D6">
        <v>0</v>
      </c>
      <c r="E6" t="s">
        <v>987</v>
      </c>
      <c r="F6" t="s">
        <v>987</v>
      </c>
      <c r="G6" s="35">
        <v>44971.205717592595</v>
      </c>
      <c r="H6" s="35">
        <v>45061.373344907406</v>
      </c>
      <c r="I6">
        <v>2.1959121820250099E+17</v>
      </c>
      <c r="J6" t="s">
        <v>987</v>
      </c>
      <c r="K6">
        <v>1035121</v>
      </c>
      <c r="L6">
        <v>1</v>
      </c>
      <c r="M6">
        <v>1</v>
      </c>
      <c r="N6" t="s">
        <v>987</v>
      </c>
      <c r="O6" t="s">
        <v>987</v>
      </c>
      <c r="P6" t="s">
        <v>987</v>
      </c>
      <c r="Q6" t="s">
        <v>987</v>
      </c>
      <c r="R6">
        <v>0</v>
      </c>
      <c r="S6">
        <v>0</v>
      </c>
      <c r="T6" t="s">
        <v>987</v>
      </c>
      <c r="U6" s="35">
        <v>45061.367974537039</v>
      </c>
      <c r="V6" t="s">
        <v>987</v>
      </c>
      <c r="W6" s="35">
        <v>45061.37060185185</v>
      </c>
      <c r="X6">
        <v>1035121</v>
      </c>
      <c r="Y6" t="s">
        <v>991</v>
      </c>
      <c r="Z6">
        <v>1030001</v>
      </c>
      <c r="AA6" t="s">
        <v>987</v>
      </c>
      <c r="AB6" t="s">
        <v>999</v>
      </c>
      <c r="AC6">
        <v>1</v>
      </c>
      <c r="AD6" t="s">
        <v>987</v>
      </c>
      <c r="AE6" t="s">
        <v>987</v>
      </c>
      <c r="AF6" t="s">
        <v>987</v>
      </c>
      <c r="AG6" t="s">
        <v>987</v>
      </c>
      <c r="AH6" s="35">
        <v>45061.141458333332</v>
      </c>
      <c r="AI6" s="35">
        <v>45062.195752314816</v>
      </c>
      <c r="AJ6" t="s">
        <v>987</v>
      </c>
    </row>
    <row r="7" spans="1:36" x14ac:dyDescent="0.35">
      <c r="A7">
        <v>22</v>
      </c>
      <c r="B7" t="s">
        <v>1000</v>
      </c>
      <c r="C7">
        <v>1.9630509198903101E+17</v>
      </c>
      <c r="D7">
        <v>0</v>
      </c>
      <c r="E7" t="s">
        <v>987</v>
      </c>
      <c r="F7" t="s">
        <v>987</v>
      </c>
      <c r="G7" s="35">
        <v>44971.205729166664</v>
      </c>
      <c r="H7" s="35">
        <v>45061.373344907406</v>
      </c>
      <c r="I7">
        <v>1.9630509198903101E+17</v>
      </c>
      <c r="J7" t="s">
        <v>987</v>
      </c>
      <c r="K7">
        <v>1090001</v>
      </c>
      <c r="L7">
        <v>1</v>
      </c>
      <c r="M7">
        <v>1</v>
      </c>
      <c r="N7" t="s">
        <v>987</v>
      </c>
      <c r="O7" t="s">
        <v>987</v>
      </c>
      <c r="P7" t="s">
        <v>987</v>
      </c>
      <c r="Q7" t="s">
        <v>987</v>
      </c>
      <c r="R7">
        <v>0</v>
      </c>
      <c r="S7">
        <v>0</v>
      </c>
      <c r="T7" t="s">
        <v>987</v>
      </c>
      <c r="U7" s="35">
        <v>45061.367974537039</v>
      </c>
      <c r="V7" t="s">
        <v>987</v>
      </c>
      <c r="W7" s="35">
        <v>45061.37060185185</v>
      </c>
      <c r="X7">
        <v>1090001</v>
      </c>
      <c r="Y7" t="s">
        <v>991</v>
      </c>
      <c r="Z7">
        <v>1000001</v>
      </c>
      <c r="AA7" t="s">
        <v>987</v>
      </c>
      <c r="AB7" t="s">
        <v>1002</v>
      </c>
      <c r="AC7">
        <v>1</v>
      </c>
      <c r="AD7" t="s">
        <v>987</v>
      </c>
      <c r="AE7" t="s">
        <v>987</v>
      </c>
      <c r="AF7" t="s">
        <v>987</v>
      </c>
      <c r="AG7" t="s">
        <v>987</v>
      </c>
      <c r="AH7" s="35">
        <v>45061.141458333332</v>
      </c>
      <c r="AI7" s="35">
        <v>45062.195752314816</v>
      </c>
      <c r="AJ7" t="s">
        <v>987</v>
      </c>
    </row>
    <row r="8" spans="1:36" x14ac:dyDescent="0.35">
      <c r="A8">
        <v>13</v>
      </c>
      <c r="B8" t="s">
        <v>1003</v>
      </c>
      <c r="C8">
        <v>1.9610917198703101E+17</v>
      </c>
      <c r="D8">
        <v>0</v>
      </c>
      <c r="E8" t="s">
        <v>987</v>
      </c>
      <c r="F8" t="s">
        <v>987</v>
      </c>
      <c r="G8" s="35">
        <v>44971.205729166664</v>
      </c>
      <c r="H8" s="35">
        <v>45061.373344907406</v>
      </c>
      <c r="I8">
        <v>1.9610917198703101E+17</v>
      </c>
      <c r="J8" t="s">
        <v>987</v>
      </c>
      <c r="K8">
        <v>1035171</v>
      </c>
      <c r="L8">
        <v>1</v>
      </c>
      <c r="M8">
        <v>1</v>
      </c>
      <c r="N8" t="s">
        <v>987</v>
      </c>
      <c r="O8" t="s">
        <v>987</v>
      </c>
      <c r="P8" t="s">
        <v>987</v>
      </c>
      <c r="Q8" t="s">
        <v>987</v>
      </c>
      <c r="R8">
        <v>0</v>
      </c>
      <c r="S8">
        <v>0</v>
      </c>
      <c r="T8" t="s">
        <v>987</v>
      </c>
      <c r="U8" s="35">
        <v>45061.367974537039</v>
      </c>
      <c r="V8" t="s">
        <v>987</v>
      </c>
      <c r="W8" s="35">
        <v>45061.37060185185</v>
      </c>
      <c r="X8">
        <v>1035171</v>
      </c>
      <c r="Y8" t="s">
        <v>991</v>
      </c>
      <c r="Z8">
        <v>1030001</v>
      </c>
      <c r="AA8" t="s">
        <v>987</v>
      </c>
      <c r="AB8" t="s">
        <v>1004</v>
      </c>
      <c r="AC8">
        <v>1</v>
      </c>
      <c r="AD8" t="s">
        <v>987</v>
      </c>
      <c r="AE8" t="s">
        <v>987</v>
      </c>
      <c r="AF8" t="s">
        <v>987</v>
      </c>
      <c r="AG8" t="s">
        <v>987</v>
      </c>
      <c r="AH8" s="35">
        <v>45061.141458333332</v>
      </c>
      <c r="AI8" s="35">
        <v>45062.195752314816</v>
      </c>
      <c r="AJ8" t="s">
        <v>987</v>
      </c>
    </row>
    <row r="9" spans="1:36" x14ac:dyDescent="0.35">
      <c r="A9">
        <v>23</v>
      </c>
      <c r="B9" t="s">
        <v>1005</v>
      </c>
      <c r="C9">
        <v>1.96307161991032E+17</v>
      </c>
      <c r="D9">
        <v>0</v>
      </c>
      <c r="E9" t="s">
        <v>987</v>
      </c>
      <c r="F9" t="s">
        <v>987</v>
      </c>
      <c r="G9" s="35">
        <v>44971.205729166664</v>
      </c>
      <c r="H9" s="35">
        <v>45061.373344907406</v>
      </c>
      <c r="I9">
        <v>1.96307161991032E+17</v>
      </c>
      <c r="J9" t="s">
        <v>987</v>
      </c>
      <c r="K9">
        <v>1035181</v>
      </c>
      <c r="L9">
        <v>1</v>
      </c>
      <c r="M9">
        <v>1</v>
      </c>
      <c r="N9" t="s">
        <v>987</v>
      </c>
      <c r="O9" t="s">
        <v>987</v>
      </c>
      <c r="P9" t="s">
        <v>987</v>
      </c>
      <c r="Q9" t="s">
        <v>987</v>
      </c>
      <c r="R9">
        <v>0</v>
      </c>
      <c r="S9">
        <v>0</v>
      </c>
      <c r="T9" t="s">
        <v>987</v>
      </c>
      <c r="U9" s="35">
        <v>45061.367974537039</v>
      </c>
      <c r="V9" t="s">
        <v>987</v>
      </c>
      <c r="W9" s="35">
        <v>45061.37060185185</v>
      </c>
      <c r="X9">
        <v>1035181</v>
      </c>
      <c r="Y9" t="s">
        <v>991</v>
      </c>
      <c r="Z9">
        <v>1030001</v>
      </c>
      <c r="AA9" t="s">
        <v>987</v>
      </c>
      <c r="AB9" t="s">
        <v>1007</v>
      </c>
      <c r="AC9">
        <v>1</v>
      </c>
      <c r="AD9" t="s">
        <v>987</v>
      </c>
      <c r="AE9" t="s">
        <v>987</v>
      </c>
      <c r="AF9" t="s">
        <v>987</v>
      </c>
      <c r="AG9" t="s">
        <v>987</v>
      </c>
      <c r="AH9" s="35">
        <v>45061.141458333332</v>
      </c>
      <c r="AI9" s="35">
        <v>45062.195752314816</v>
      </c>
      <c r="AJ9" t="s">
        <v>987</v>
      </c>
    </row>
    <row r="10" spans="1:36" x14ac:dyDescent="0.35">
      <c r="A10">
        <v>3</v>
      </c>
      <c r="B10" t="s">
        <v>1008</v>
      </c>
      <c r="C10">
        <v>2.1959090520240998E+17</v>
      </c>
      <c r="D10">
        <v>0</v>
      </c>
      <c r="E10" t="s">
        <v>987</v>
      </c>
      <c r="F10" t="s">
        <v>987</v>
      </c>
      <c r="G10" s="35">
        <v>44971.205717592595</v>
      </c>
      <c r="H10" s="35">
        <v>45061.373344907406</v>
      </c>
      <c r="I10">
        <v>2.1959090520240998E+17</v>
      </c>
      <c r="J10" t="s">
        <v>987</v>
      </c>
      <c r="K10">
        <v>1035211</v>
      </c>
      <c r="L10">
        <v>1</v>
      </c>
      <c r="M10">
        <v>1</v>
      </c>
      <c r="N10" t="s">
        <v>987</v>
      </c>
      <c r="O10" t="s">
        <v>987</v>
      </c>
      <c r="P10" t="s">
        <v>987</v>
      </c>
      <c r="Q10" t="s">
        <v>987</v>
      </c>
      <c r="R10">
        <v>0</v>
      </c>
      <c r="S10">
        <v>0</v>
      </c>
      <c r="T10" t="s">
        <v>987</v>
      </c>
      <c r="U10" s="35">
        <v>45061.367974537039</v>
      </c>
      <c r="V10" t="s">
        <v>987</v>
      </c>
      <c r="W10" s="35">
        <v>45061.37060185185</v>
      </c>
      <c r="X10">
        <v>1035211</v>
      </c>
      <c r="Y10" t="s">
        <v>991</v>
      </c>
      <c r="Z10">
        <v>1030001</v>
      </c>
      <c r="AA10" t="s">
        <v>987</v>
      </c>
      <c r="AB10" t="s">
        <v>1010</v>
      </c>
      <c r="AC10">
        <v>1</v>
      </c>
      <c r="AD10" t="s">
        <v>987</v>
      </c>
      <c r="AE10" t="s">
        <v>987</v>
      </c>
      <c r="AF10" t="s">
        <v>987</v>
      </c>
      <c r="AG10" t="s">
        <v>987</v>
      </c>
      <c r="AH10" s="35">
        <v>45061.141458333332</v>
      </c>
      <c r="AI10" s="35">
        <v>45062.195752314816</v>
      </c>
      <c r="AJ10" t="s">
        <v>987</v>
      </c>
    </row>
    <row r="11" spans="1:36" x14ac:dyDescent="0.35">
      <c r="A11">
        <v>20</v>
      </c>
      <c r="B11" t="s">
        <v>1011</v>
      </c>
      <c r="C11">
        <v>1.9630402198701101E+17</v>
      </c>
      <c r="D11">
        <v>0</v>
      </c>
      <c r="E11" t="s">
        <v>987</v>
      </c>
      <c r="F11" t="s">
        <v>987</v>
      </c>
      <c r="G11" s="35">
        <v>44971.205729166664</v>
      </c>
      <c r="H11" s="35">
        <v>45061.373344907406</v>
      </c>
      <c r="I11">
        <v>1.9630402198701101E+17</v>
      </c>
      <c r="J11" t="s">
        <v>987</v>
      </c>
      <c r="K11">
        <v>1035251</v>
      </c>
      <c r="L11">
        <v>1</v>
      </c>
      <c r="M11">
        <v>1</v>
      </c>
      <c r="N11" t="s">
        <v>987</v>
      </c>
      <c r="O11" t="s">
        <v>987</v>
      </c>
      <c r="P11" t="s">
        <v>987</v>
      </c>
      <c r="Q11" t="s">
        <v>987</v>
      </c>
      <c r="R11">
        <v>0</v>
      </c>
      <c r="S11">
        <v>2</v>
      </c>
      <c r="T11" t="s">
        <v>987</v>
      </c>
      <c r="U11" s="35">
        <v>45061.367974537039</v>
      </c>
      <c r="V11" t="s">
        <v>987</v>
      </c>
      <c r="W11" s="35">
        <v>45069.291493055556</v>
      </c>
      <c r="X11">
        <v>1035251</v>
      </c>
      <c r="Y11" t="s">
        <v>991</v>
      </c>
      <c r="Z11">
        <v>1030001</v>
      </c>
      <c r="AA11" t="s">
        <v>987</v>
      </c>
      <c r="AB11" t="s">
        <v>1013</v>
      </c>
      <c r="AC11">
        <v>1</v>
      </c>
      <c r="AD11" t="s">
        <v>987</v>
      </c>
      <c r="AE11" t="s">
        <v>987</v>
      </c>
      <c r="AF11" t="s">
        <v>987</v>
      </c>
      <c r="AG11" t="s">
        <v>987</v>
      </c>
      <c r="AH11" s="35">
        <v>45061.141458333332</v>
      </c>
      <c r="AI11" s="35">
        <v>45062.195752314816</v>
      </c>
      <c r="AJ11" t="s">
        <v>987</v>
      </c>
    </row>
    <row r="12" spans="1:36" x14ac:dyDescent="0.35">
      <c r="A12">
        <v>16</v>
      </c>
      <c r="B12" t="s">
        <v>1014</v>
      </c>
      <c r="C12">
        <v>1.96208031989032E+17</v>
      </c>
      <c r="D12">
        <v>0</v>
      </c>
      <c r="E12" t="s">
        <v>987</v>
      </c>
      <c r="F12" t="s">
        <v>987</v>
      </c>
      <c r="G12" s="35">
        <v>44971.205729166664</v>
      </c>
      <c r="H12" s="35">
        <v>45061.373344907406</v>
      </c>
      <c r="I12">
        <v>1.96208031989032E+17</v>
      </c>
      <c r="J12" t="s">
        <v>987</v>
      </c>
      <c r="K12">
        <v>1035061</v>
      </c>
      <c r="L12">
        <v>1</v>
      </c>
      <c r="M12">
        <v>1</v>
      </c>
      <c r="N12" t="s">
        <v>987</v>
      </c>
      <c r="O12" t="s">
        <v>987</v>
      </c>
      <c r="P12" t="s">
        <v>987</v>
      </c>
      <c r="Q12" t="s">
        <v>987</v>
      </c>
      <c r="R12">
        <v>0</v>
      </c>
      <c r="S12">
        <v>0</v>
      </c>
      <c r="T12" t="s">
        <v>987</v>
      </c>
      <c r="U12" s="35">
        <v>45061.367974537039</v>
      </c>
      <c r="V12" t="s">
        <v>987</v>
      </c>
      <c r="W12" s="35">
        <v>45061.37060185185</v>
      </c>
      <c r="X12">
        <v>1035061</v>
      </c>
      <c r="Y12" t="s">
        <v>991</v>
      </c>
      <c r="Z12">
        <v>1030001</v>
      </c>
      <c r="AA12" t="s">
        <v>987</v>
      </c>
      <c r="AB12" t="s">
        <v>1016</v>
      </c>
      <c r="AC12">
        <v>1</v>
      </c>
      <c r="AD12" t="s">
        <v>987</v>
      </c>
      <c r="AE12" t="s">
        <v>987</v>
      </c>
      <c r="AF12" t="s">
        <v>987</v>
      </c>
      <c r="AG12" t="s">
        <v>987</v>
      </c>
      <c r="AH12" s="35">
        <v>45061.141458333332</v>
      </c>
      <c r="AI12" s="35">
        <v>45062.195752314816</v>
      </c>
      <c r="AJ12" t="s">
        <v>987</v>
      </c>
    </row>
    <row r="13" spans="1:36" x14ac:dyDescent="0.35">
      <c r="A13">
        <v>68</v>
      </c>
      <c r="B13" t="s">
        <v>1017</v>
      </c>
      <c r="C13">
        <v>1.9820606200812099E+17</v>
      </c>
      <c r="D13">
        <v>0</v>
      </c>
      <c r="E13" t="s">
        <v>987</v>
      </c>
      <c r="F13" t="s">
        <v>987</v>
      </c>
      <c r="G13" s="35">
        <v>44971.205740740741</v>
      </c>
      <c r="H13" s="35">
        <v>45061.373344907406</v>
      </c>
      <c r="I13">
        <v>1.9820606200812099E+17</v>
      </c>
      <c r="J13" t="s">
        <v>987</v>
      </c>
      <c r="K13">
        <v>1035071</v>
      </c>
      <c r="L13">
        <v>1</v>
      </c>
      <c r="M13">
        <v>1</v>
      </c>
      <c r="N13" t="s">
        <v>987</v>
      </c>
      <c r="O13" t="s">
        <v>987</v>
      </c>
      <c r="P13" t="s">
        <v>987</v>
      </c>
      <c r="Q13" t="s">
        <v>987</v>
      </c>
      <c r="R13">
        <v>0</v>
      </c>
      <c r="S13">
        <v>0</v>
      </c>
      <c r="T13" t="s">
        <v>987</v>
      </c>
      <c r="U13" s="35">
        <v>45061.367974537039</v>
      </c>
      <c r="V13" t="s">
        <v>987</v>
      </c>
      <c r="W13" s="35">
        <v>45061.37060185185</v>
      </c>
      <c r="X13">
        <v>1035071</v>
      </c>
      <c r="Y13" t="s">
        <v>991</v>
      </c>
      <c r="Z13">
        <v>1030001</v>
      </c>
      <c r="AA13" t="s">
        <v>987</v>
      </c>
      <c r="AB13" t="s">
        <v>1018</v>
      </c>
      <c r="AC13">
        <v>1</v>
      </c>
      <c r="AD13" t="s">
        <v>987</v>
      </c>
      <c r="AE13" t="s">
        <v>987</v>
      </c>
      <c r="AF13" t="s">
        <v>987</v>
      </c>
      <c r="AG13" t="s">
        <v>987</v>
      </c>
      <c r="AH13" s="35">
        <v>45061.141458333332</v>
      </c>
      <c r="AI13" s="35">
        <v>45062.195752314816</v>
      </c>
      <c r="AJ13" t="s">
        <v>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3606-9723-4D7F-93CD-67EF625E5258}">
  <dimension ref="A1:P12"/>
  <sheetViews>
    <sheetView topLeftCell="I1" zoomScale="70" zoomScaleNormal="70" workbookViewId="0">
      <pane ySplit="1" topLeftCell="A2" activePane="bottomLeft" state="frozen"/>
      <selection activeCell="I1" sqref="I1"/>
      <selection pane="bottomLeft" activeCell="L6" sqref="L6"/>
    </sheetView>
  </sheetViews>
  <sheetFormatPr defaultColWidth="9.1796875" defaultRowHeight="14.5" x14ac:dyDescent="0.35"/>
  <cols>
    <col min="1" max="1" width="0" style="4" hidden="1" customWidth="1"/>
    <col min="2" max="2" width="0" style="3" hidden="1" customWidth="1"/>
    <col min="3" max="3" width="0" style="5" hidden="1" customWidth="1"/>
    <col min="4" max="8" width="0" style="3" hidden="1" customWidth="1"/>
    <col min="9" max="9" width="9.1796875" style="4"/>
    <col min="10" max="10" width="43.54296875" style="8" customWidth="1"/>
    <col min="11" max="11" width="20.453125" style="9" bestFit="1" customWidth="1"/>
    <col min="12" max="12" width="26" style="10" customWidth="1"/>
    <col min="13" max="13" width="20.26953125" style="10" bestFit="1" customWidth="1"/>
    <col min="14" max="14" width="55.26953125" style="8" customWidth="1"/>
    <col min="15" max="15" width="32.54296875" style="10" bestFit="1" customWidth="1"/>
    <col min="16" max="16" width="31" style="3" customWidth="1"/>
    <col min="17" max="16384" width="9.1796875" style="3"/>
  </cols>
  <sheetData>
    <row r="1" spans="1:16" ht="39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1"/>
      <c r="I1" s="16" t="s">
        <v>0</v>
      </c>
      <c r="J1" s="16" t="s">
        <v>1</v>
      </c>
      <c r="K1" s="17" t="s">
        <v>267</v>
      </c>
      <c r="L1" s="16" t="s">
        <v>3</v>
      </c>
      <c r="M1" s="16" t="s">
        <v>4</v>
      </c>
      <c r="N1" s="16" t="s">
        <v>5</v>
      </c>
      <c r="O1" s="16" t="s">
        <v>6</v>
      </c>
    </row>
    <row r="2" spans="1:16" ht="13" x14ac:dyDescent="0.3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2"/>
      <c r="I2" s="1" t="s">
        <v>7</v>
      </c>
      <c r="J2" s="1" t="s">
        <v>8</v>
      </c>
      <c r="K2" s="2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6" ht="29" x14ac:dyDescent="0.35">
      <c r="H3" s="13"/>
      <c r="I3" s="18">
        <v>1</v>
      </c>
      <c r="J3" s="19" t="s">
        <v>120</v>
      </c>
      <c r="K3" s="20" t="s">
        <v>375</v>
      </c>
      <c r="L3" s="21" t="s">
        <v>524</v>
      </c>
      <c r="M3" s="21"/>
      <c r="N3" s="19" t="s">
        <v>658</v>
      </c>
      <c r="O3" s="21" t="s">
        <v>805</v>
      </c>
      <c r="P3" s="3" t="s">
        <v>911</v>
      </c>
    </row>
    <row r="4" spans="1:16" ht="39" x14ac:dyDescent="0.35">
      <c r="H4" s="13"/>
      <c r="I4" s="18">
        <v>2</v>
      </c>
      <c r="J4" s="19" t="s">
        <v>96</v>
      </c>
      <c r="K4" s="20" t="s">
        <v>351</v>
      </c>
      <c r="L4" s="21" t="s">
        <v>525</v>
      </c>
      <c r="M4" s="21" t="s">
        <v>546</v>
      </c>
      <c r="N4" s="19" t="s">
        <v>634</v>
      </c>
      <c r="O4" s="21" t="s">
        <v>818</v>
      </c>
      <c r="P4" s="3" t="s">
        <v>901</v>
      </c>
    </row>
    <row r="5" spans="1:16" ht="52" x14ac:dyDescent="0.35">
      <c r="H5" s="13"/>
      <c r="I5" s="18">
        <v>3</v>
      </c>
      <c r="J5" s="19" t="s">
        <v>51</v>
      </c>
      <c r="K5" s="20" t="s">
        <v>306</v>
      </c>
      <c r="L5" s="21" t="s">
        <v>524</v>
      </c>
      <c r="M5" s="21"/>
      <c r="N5" s="19" t="s">
        <v>677</v>
      </c>
      <c r="O5" s="21" t="s">
        <v>805</v>
      </c>
      <c r="P5" s="3" t="s">
        <v>894</v>
      </c>
    </row>
    <row r="6" spans="1:16" ht="29" x14ac:dyDescent="0.35">
      <c r="H6" s="13"/>
      <c r="I6" s="18">
        <v>4</v>
      </c>
      <c r="J6" s="19" t="s">
        <v>60</v>
      </c>
      <c r="K6" s="20" t="s">
        <v>315</v>
      </c>
      <c r="L6" s="21" t="s">
        <v>522</v>
      </c>
      <c r="M6" s="21"/>
      <c r="N6" s="19" t="s">
        <v>596</v>
      </c>
      <c r="O6" s="21" t="s">
        <v>805</v>
      </c>
      <c r="P6" s="3" t="s">
        <v>889</v>
      </c>
    </row>
    <row r="7" spans="1:16" ht="29" x14ac:dyDescent="0.35">
      <c r="H7" s="13"/>
      <c r="I7" s="18">
        <v>5</v>
      </c>
      <c r="J7" s="19" t="s">
        <v>49</v>
      </c>
      <c r="K7" s="20" t="s">
        <v>304</v>
      </c>
      <c r="L7" s="21" t="s">
        <v>524</v>
      </c>
      <c r="M7" s="21"/>
      <c r="N7" s="19" t="s">
        <v>585</v>
      </c>
      <c r="O7" s="21" t="s">
        <v>805</v>
      </c>
      <c r="P7" s="3" t="s">
        <v>886</v>
      </c>
    </row>
    <row r="8" spans="1:16" ht="52" x14ac:dyDescent="0.35">
      <c r="I8" s="18">
        <v>6</v>
      </c>
      <c r="J8" s="19" t="s">
        <v>132</v>
      </c>
      <c r="K8" s="20" t="s">
        <v>387</v>
      </c>
      <c r="L8" s="21" t="s">
        <v>522</v>
      </c>
      <c r="M8" s="21" t="s">
        <v>534</v>
      </c>
      <c r="N8" s="19" t="s">
        <v>670</v>
      </c>
      <c r="O8" s="21" t="s">
        <v>805</v>
      </c>
      <c r="P8" s="3" t="s">
        <v>891</v>
      </c>
    </row>
    <row r="9" spans="1:16" ht="29" x14ac:dyDescent="0.35">
      <c r="H9" s="13"/>
      <c r="I9" s="18">
        <v>7</v>
      </c>
      <c r="J9" s="19" t="s">
        <v>148</v>
      </c>
      <c r="K9" s="20" t="s">
        <v>403</v>
      </c>
      <c r="L9" s="21" t="s">
        <v>524</v>
      </c>
      <c r="M9" s="21"/>
      <c r="N9" s="19" t="s">
        <v>686</v>
      </c>
      <c r="O9" s="21" t="s">
        <v>805</v>
      </c>
      <c r="P9" s="3" t="s">
        <v>918</v>
      </c>
    </row>
    <row r="10" spans="1:16" ht="29" x14ac:dyDescent="0.35">
      <c r="H10" s="13"/>
      <c r="I10" s="18">
        <v>8</v>
      </c>
      <c r="J10" s="19" t="s">
        <v>235</v>
      </c>
      <c r="K10" s="20" t="s">
        <v>490</v>
      </c>
      <c r="L10" s="21" t="s">
        <v>523</v>
      </c>
      <c r="M10" s="21" t="s">
        <v>531</v>
      </c>
      <c r="N10" s="19" t="s">
        <v>774</v>
      </c>
      <c r="O10" s="21" t="s">
        <v>805</v>
      </c>
      <c r="P10" s="3" t="s">
        <v>945</v>
      </c>
    </row>
    <row r="11" spans="1:16" ht="29" x14ac:dyDescent="0.35">
      <c r="H11" s="13"/>
      <c r="I11" s="18">
        <v>9</v>
      </c>
      <c r="J11" s="19" t="s">
        <v>165</v>
      </c>
      <c r="K11" s="20" t="s">
        <v>420</v>
      </c>
      <c r="L11" s="21" t="s">
        <v>522</v>
      </c>
      <c r="M11" s="21"/>
      <c r="N11" s="19" t="s">
        <v>703</v>
      </c>
      <c r="O11" s="21" t="s">
        <v>805</v>
      </c>
      <c r="P11" s="3" t="s">
        <v>923</v>
      </c>
    </row>
    <row r="12" spans="1:16" ht="29" x14ac:dyDescent="0.35">
      <c r="H12" s="13"/>
      <c r="I12" s="18">
        <v>10</v>
      </c>
      <c r="J12" s="19" t="s">
        <v>194</v>
      </c>
      <c r="K12" s="20" t="s">
        <v>449</v>
      </c>
      <c r="L12" s="21" t="s">
        <v>524</v>
      </c>
      <c r="M12" s="21"/>
      <c r="N12" s="19" t="s">
        <v>732</v>
      </c>
      <c r="O12" s="21" t="s">
        <v>805</v>
      </c>
      <c r="P12" s="3" t="s">
        <v>932</v>
      </c>
    </row>
  </sheetData>
  <autoFilter ref="A1:P12" xr:uid="{FBC00E10-8C59-45F7-B15D-2A0F8F5A3B3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PPK Baru</vt:lpstr>
      <vt:lpstr>Sheet3</vt:lpstr>
      <vt:lpstr>Sheet2</vt:lpstr>
      <vt:lpstr>Manajer keuangan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Dwihananto, S.Kom.</dc:creator>
  <cp:lastModifiedBy>Ridwan Arioman, S.Kom.</cp:lastModifiedBy>
  <dcterms:created xsi:type="dcterms:W3CDTF">2026-01-28T13:00:45Z</dcterms:created>
  <dcterms:modified xsi:type="dcterms:W3CDTF">2026-02-01T12:30:14Z</dcterms:modified>
</cp:coreProperties>
</file>