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u\UT\Mutasi Unit dan Pejabat\"/>
    </mc:Choice>
  </mc:AlternateContent>
  <xr:revisionPtr revIDLastSave="0" documentId="13_ncr:1_{32C4E09F-E2EB-4E0E-83BA-A6F866530053}" xr6:coauthVersionLast="45" xr6:coauthVersionMax="45" xr10:uidLastSave="{00000000-0000-0000-0000-000000000000}"/>
  <bookViews>
    <workbookView xWindow="132" yWindow="0" windowWidth="22908" windowHeight="12960" activeTab="3" xr2:uid="{391706CE-1FD6-45E6-969C-C115F32A6833}"/>
  </bookViews>
  <sheets>
    <sheet name="Sheet1" sheetId="1" r:id="rId1"/>
    <sheet name="Sheet2" sheetId="2" r:id="rId2"/>
    <sheet name="lengkapi_unit_lama" sheetId="4" r:id="rId3"/>
    <sheet name="ref_unit_pbj_histor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" i="3" l="1"/>
  <c r="Q7" i="3"/>
  <c r="Q8" i="3"/>
  <c r="Q9" i="3"/>
  <c r="Q10" i="3"/>
  <c r="Q11" i="3"/>
  <c r="Q12" i="3"/>
  <c r="Q13" i="3"/>
  <c r="Q14" i="3"/>
  <c r="Q5" i="3"/>
  <c r="P6" i="3"/>
  <c r="P7" i="3"/>
  <c r="P8" i="3"/>
  <c r="P9" i="3"/>
  <c r="P10" i="3"/>
  <c r="P11" i="3"/>
  <c r="P12" i="3"/>
  <c r="P13" i="3"/>
  <c r="P14" i="3"/>
  <c r="P5" i="3"/>
  <c r="O6" i="3"/>
  <c r="O7" i="3"/>
  <c r="O8" i="3"/>
  <c r="O9" i="3"/>
  <c r="O10" i="3"/>
  <c r="O11" i="3"/>
  <c r="O12" i="3"/>
  <c r="O13" i="3"/>
  <c r="O14" i="3"/>
  <c r="O5" i="3"/>
  <c r="N6" i="3" l="1"/>
  <c r="N7" i="3"/>
  <c r="N8" i="3"/>
  <c r="N9" i="3"/>
  <c r="N10" i="3"/>
  <c r="N11" i="3"/>
  <c r="N12" i="3"/>
  <c r="N13" i="3"/>
  <c r="N14" i="3"/>
  <c r="N5" i="3"/>
  <c r="M6" i="3"/>
  <c r="M7" i="3"/>
  <c r="M8" i="3"/>
  <c r="M9" i="3"/>
  <c r="M10" i="3"/>
  <c r="M11" i="3"/>
  <c r="M12" i="3"/>
  <c r="M13" i="3"/>
  <c r="M14" i="3"/>
  <c r="M5" i="3"/>
  <c r="E152" i="4"/>
  <c r="E153" i="4"/>
  <c r="E154" i="4"/>
  <c r="E151" i="4"/>
  <c r="E143" i="4"/>
  <c r="E88" i="4"/>
  <c r="E89" i="4"/>
  <c r="E90" i="4"/>
  <c r="E87" i="4"/>
  <c r="E76" i="4"/>
  <c r="E77" i="4"/>
  <c r="E78" i="4"/>
  <c r="E79" i="4"/>
  <c r="E75" i="4"/>
  <c r="H65" i="2"/>
  <c r="H58" i="2"/>
  <c r="H57" i="2"/>
  <c r="H53" i="2"/>
  <c r="H38" i="2"/>
  <c r="H33" i="2"/>
  <c r="H24" i="2"/>
  <c r="H22" i="2"/>
  <c r="H9" i="2"/>
  <c r="H138" i="2" l="1"/>
  <c r="H145" i="2"/>
  <c r="H146" i="2"/>
  <c r="H147" i="2"/>
  <c r="H148" i="2"/>
  <c r="H82" i="2"/>
  <c r="H83" i="2"/>
  <c r="H84" i="2"/>
  <c r="H85" i="2"/>
  <c r="H71" i="2"/>
  <c r="H72" i="2"/>
  <c r="H73" i="2"/>
  <c r="H74" i="2"/>
  <c r="H70" i="2"/>
</calcChain>
</file>

<file path=xl/sharedStrings.xml><?xml version="1.0" encoding="utf-8"?>
<sst xmlns="http://schemas.openxmlformats.org/spreadsheetml/2006/main" count="994" uniqueCount="252">
  <si>
    <t>UN31.DMAUPBJ</t>
  </si>
  <si>
    <t>Direktorat Manajemen Aset dan Unit Pengadaan Barang dan Jasa</t>
  </si>
  <si>
    <t>PBJ1</t>
  </si>
  <si>
    <t>PBJ Kegiatan Pemeliharaan Sarpras, Kerumahtanggaan, Keamanan Dan Ketertiban</t>
  </si>
  <si>
    <t>PBJ13</t>
  </si>
  <si>
    <t>PBJ Kegiatan Pengadaan dan Rehabilitasi Bangunan, Jalan, Jembatan, Dan Furnitur</t>
  </si>
  <si>
    <t>UN31.DSI</t>
  </si>
  <si>
    <t>Direktorat Sistem Informasi</t>
  </si>
  <si>
    <t>PBJ23</t>
  </si>
  <si>
    <t>PBJ Pendukung Pengadaan Tanah Bagi Pembangunan Untuk Kepentingan Umum di Lingkungan UT</t>
  </si>
  <si>
    <t>PBJ3</t>
  </si>
  <si>
    <t>PBJ Kegiatan Pengadaan Barang Milik Negara dan Kebutuhan Barang Habis Pakai</t>
  </si>
  <si>
    <t>PBJ4</t>
  </si>
  <si>
    <t>PBJ Kegiatan Bahan Ajar Cetak dan Non Cetak</t>
  </si>
  <si>
    <t>UN31.SRUH</t>
  </si>
  <si>
    <t>Sekretariat Rektorat dan Urusan Hukum</t>
  </si>
  <si>
    <t>UN31.PPBI</t>
  </si>
  <si>
    <t>Pusat Pengelolaan Bisnis dan Investasi</t>
  </si>
  <si>
    <t>UN31.PPKU</t>
  </si>
  <si>
    <t>Pusat Pengelolaan Keuangan</t>
  </si>
  <si>
    <t>UN31.PPP</t>
  </si>
  <si>
    <t>Pusat Perencanaan dan Pelaporan</t>
  </si>
  <si>
    <t>UN31.MWA</t>
  </si>
  <si>
    <t>Majelis Wali Amanat</t>
  </si>
  <si>
    <t>UN31.KPI</t>
  </si>
  <si>
    <t>Kantor Pengawas Internal</t>
  </si>
  <si>
    <t>UN31.UT1</t>
  </si>
  <si>
    <t>Universitas Terbuka Sorong</t>
  </si>
  <si>
    <t>UN31.UT2</t>
  </si>
  <si>
    <t>Universitas Terbuka Banda Aceh</t>
  </si>
  <si>
    <t>UN31.UT3</t>
  </si>
  <si>
    <t>Universitas Terbuka Medan</t>
  </si>
  <si>
    <t>UN31.UT4</t>
  </si>
  <si>
    <t>Universitas Terbuka Batam</t>
  </si>
  <si>
    <t>UN31.UT5</t>
  </si>
  <si>
    <t>Universitas Terbuka Padang</t>
  </si>
  <si>
    <t>UN31.UT6</t>
  </si>
  <si>
    <t>Universitas Terbuka Pangkalpinang</t>
  </si>
  <si>
    <t>UN31.UT7</t>
  </si>
  <si>
    <t>Universitas Terbuka Pekanbaru</t>
  </si>
  <si>
    <t>UN31.UT8</t>
  </si>
  <si>
    <t>Universitas Terbuka Jambi</t>
  </si>
  <si>
    <t>UN31.UT9</t>
  </si>
  <si>
    <t>Universitas Terbuka Palembang</t>
  </si>
  <si>
    <t>UN31.UT10</t>
  </si>
  <si>
    <t>Universitas Terbuka Bengkulu</t>
  </si>
  <si>
    <t>UN31.UT11</t>
  </si>
  <si>
    <t>Universitas Terbuka Bandar Lampung</t>
  </si>
  <si>
    <t>UN31.UT12</t>
  </si>
  <si>
    <t>Universitas Terbuka Jakarta</t>
  </si>
  <si>
    <t>UN31.UT13</t>
  </si>
  <si>
    <t>Universitas Terbuka Serang</t>
  </si>
  <si>
    <t>UN31.UT14</t>
  </si>
  <si>
    <t>Universitas Terbuka Bogor</t>
  </si>
  <si>
    <t>UN31.UT15</t>
  </si>
  <si>
    <t>Universitas Terbuka Bandung</t>
  </si>
  <si>
    <t>UN31.UT16</t>
  </si>
  <si>
    <t>Universitas Terbuka Purwokerto</t>
  </si>
  <si>
    <t>UN31.UT17</t>
  </si>
  <si>
    <t>Universitas Terbuka Semarang</t>
  </si>
  <si>
    <t>UN31.UT18</t>
  </si>
  <si>
    <t>Universitas Terbuka Surakarta</t>
  </si>
  <si>
    <t>UN31.UT19</t>
  </si>
  <si>
    <t>Universitas Terbuka Yogyakarta</t>
  </si>
  <si>
    <t>UN31.UT20</t>
  </si>
  <si>
    <t>Universitas Terbuka Pontianak</t>
  </si>
  <si>
    <t>UN31.UT21</t>
  </si>
  <si>
    <t>Universitas Terbuka Palangkaraya</t>
  </si>
  <si>
    <t>UN31.UT22</t>
  </si>
  <si>
    <t>Universitas Terbuka Banjarmasin</t>
  </si>
  <si>
    <t>UN31.UT23</t>
  </si>
  <si>
    <t>Universitas Terbuka Samarinda</t>
  </si>
  <si>
    <t>UN31.UT24</t>
  </si>
  <si>
    <t>Universitas Terbuka Tarakan</t>
  </si>
  <si>
    <t>UN31.UT25</t>
  </si>
  <si>
    <t>Universitas Terbuka Surabaya</t>
  </si>
  <si>
    <t>UN31.UT26</t>
  </si>
  <si>
    <t>Universitas Terbuka Malang</t>
  </si>
  <si>
    <t>UN31.UT27</t>
  </si>
  <si>
    <t>Universitas Terbuka Jember</t>
  </si>
  <si>
    <t>UN31.UT28</t>
  </si>
  <si>
    <t>Universitas Terbuka Denpasar</t>
  </si>
  <si>
    <t>UN31.UT29</t>
  </si>
  <si>
    <t>Universitas Terbuka Mataram</t>
  </si>
  <si>
    <t>UN31.UT30</t>
  </si>
  <si>
    <t>Universitas Terbuka Kupang</t>
  </si>
  <si>
    <t>UN31.UT31</t>
  </si>
  <si>
    <t>Universitas Terbuka Makassar</t>
  </si>
  <si>
    <t>UN31.UT32</t>
  </si>
  <si>
    <t>Universitas Terbuka Majene</t>
  </si>
  <si>
    <t>UN31.UT33</t>
  </si>
  <si>
    <t>Universitas Terbuka Palu</t>
  </si>
  <si>
    <t>UN31.UT34</t>
  </si>
  <si>
    <t>Universitas Terbuka Kendari</t>
  </si>
  <si>
    <t>UN31.UT35</t>
  </si>
  <si>
    <t>Universitas Terbuka Manado</t>
  </si>
  <si>
    <t>UN31.UT36</t>
  </si>
  <si>
    <t>Universitas Terbuka Gorontalo</t>
  </si>
  <si>
    <t>UN31.UT37</t>
  </si>
  <si>
    <t>Universitas Terbuka Ambon</t>
  </si>
  <si>
    <t>UN31.UT38</t>
  </si>
  <si>
    <t>Universitas Terbuka Jayapura</t>
  </si>
  <si>
    <t>UN31.UT39</t>
  </si>
  <si>
    <t>Universitas Terbuka Ternate</t>
  </si>
  <si>
    <t>UN31.UT40</t>
  </si>
  <si>
    <t>Universitas Terbuka Layanan Luar Negeri</t>
  </si>
  <si>
    <t>UN31.LLOP1</t>
  </si>
  <si>
    <t>Pusat Produksi Bahan Ajar Multi Media</t>
  </si>
  <si>
    <t>UN31.LLOP2</t>
  </si>
  <si>
    <t>Pusat Layanan Bahan Ajar</t>
  </si>
  <si>
    <t>UN31.LLOP3</t>
  </si>
  <si>
    <t>Pusat Pengelolaan Pembelajaran</t>
  </si>
  <si>
    <t>UN31.LLOP4</t>
  </si>
  <si>
    <t>Pusat Pengolahan Pengujian</t>
  </si>
  <si>
    <t>UN31.PPK</t>
  </si>
  <si>
    <t>Pusat Perpustakaan dan Kearsipan</t>
  </si>
  <si>
    <t>UN31.PSDM</t>
  </si>
  <si>
    <t>Pusat Sumber Daya Manusia</t>
  </si>
  <si>
    <t>UN31.FEB</t>
  </si>
  <si>
    <t>Fakultas Ekonomi dan Bisnis</t>
  </si>
  <si>
    <t>UN31.FHISIP</t>
  </si>
  <si>
    <t>Fakultas Hukum, Ilmu Sosial, dan Ilmu Politik</t>
  </si>
  <si>
    <t>UN31.FKIP</t>
  </si>
  <si>
    <t>Fakultas Keguruan dan Ilmu Pendidikan</t>
  </si>
  <si>
    <t>UN31.DAAK</t>
  </si>
  <si>
    <t>Direktorat Administrasi Akademik dan Kelulusan</t>
  </si>
  <si>
    <t>UN31.FST</t>
  </si>
  <si>
    <t>Fakultas Sains dan Teknologi</t>
  </si>
  <si>
    <t>UN31.SPS</t>
  </si>
  <si>
    <t>Sekolah Pascasarjana</t>
  </si>
  <si>
    <t>UN31.KPM</t>
  </si>
  <si>
    <t>Kantor Penjaminan Mutu</t>
  </si>
  <si>
    <t>UN31.DPKS</t>
  </si>
  <si>
    <t>Direktorat Pemasaran dan Kerjasama</t>
  </si>
  <si>
    <t>UN31.SAU</t>
  </si>
  <si>
    <t>Senat Akademik Universitas</t>
  </si>
  <si>
    <t>UN31.UPPDJI</t>
  </si>
  <si>
    <t>Unit Pengembangan Pembelajaran Dalam Jaringan Indonesia</t>
  </si>
  <si>
    <t>UN31.LPPM</t>
  </si>
  <si>
    <t>Lembaga Penelitian dan Pengabdian Kepada Masyarakat</t>
  </si>
  <si>
    <t>UN31</t>
  </si>
  <si>
    <t>UN31.WR1</t>
  </si>
  <si>
    <t>UN31.WR2</t>
  </si>
  <si>
    <t>UN31.WR3</t>
  </si>
  <si>
    <t>UN31.WR4</t>
  </si>
  <si>
    <t>UN31.LPPM1</t>
  </si>
  <si>
    <t>UN31.LPPM2</t>
  </si>
  <si>
    <t>UN31.LPPM3</t>
  </si>
  <si>
    <t>UN31.LPPJJ</t>
  </si>
  <si>
    <t>UN31.LPPJJ1</t>
  </si>
  <si>
    <t>UN31.LPPJJ2</t>
  </si>
  <si>
    <t>UN31.LPPJJ3</t>
  </si>
  <si>
    <t>UN31.LPPJJ4</t>
  </si>
  <si>
    <t>UN31.DTD</t>
  </si>
  <si>
    <t>UN31.PBI</t>
  </si>
  <si>
    <t>UN31.SVOK</t>
  </si>
  <si>
    <t>UN31.DSDM</t>
  </si>
  <si>
    <t>UN31.PKPK</t>
  </si>
  <si>
    <t>UN31.SEKUN</t>
  </si>
  <si>
    <t>UN31.KA</t>
  </si>
  <si>
    <t>UN31.LAB</t>
  </si>
  <si>
    <t>UN31.UPASP</t>
  </si>
  <si>
    <t>UN31.PMO</t>
  </si>
  <si>
    <t>Direktorat Teknologi Digital</t>
  </si>
  <si>
    <t>Pusat Bisnis dan Investasi</t>
  </si>
  <si>
    <t>Sekretariat Universitas</t>
  </si>
  <si>
    <t>Pusat Pengelolaan Ujian</t>
  </si>
  <si>
    <t>Pusat Komunikasi Publik dan Kerja Sama</t>
  </si>
  <si>
    <t>Pusat Distribusi Bahan Ajar</t>
  </si>
  <si>
    <t>Pusat Produksi Bahan Ajar dan Multimedia</t>
  </si>
  <si>
    <t>Direktorat Sumber Daya Manusia</t>
  </si>
  <si>
    <t>Universitas Terbuka (Rektor)</t>
  </si>
  <si>
    <t>Bidang Akademik dan Kemahasiswaan</t>
  </si>
  <si>
    <t>Bidang Keuangan, Sumber Daya dan Umum</t>
  </si>
  <si>
    <t>Bidang Sistem Informasi, Layanan Jarak Jauh, dan Alumni</t>
  </si>
  <si>
    <t>Bidang Riset, Kerja Sama, dan Bisnis</t>
  </si>
  <si>
    <t>Pusat Penelitian Keilmuan</t>
  </si>
  <si>
    <t>Pusat Pengabdian Kepada Masyarakat</t>
  </si>
  <si>
    <t>Pusat Riset dan Inovasi Pendidikan Jarak Jauh</t>
  </si>
  <si>
    <t>Lembaga Pendukung Pembelajaran Jarak Jauh</t>
  </si>
  <si>
    <t>Sekolah Vokasi</t>
  </si>
  <si>
    <t>Komite Audit</t>
  </si>
  <si>
    <t>Unit Laboratorium Terpadu Universitas</t>
  </si>
  <si>
    <t>Unit Pemberdayaan Alumni, Sentra Karier, dan Penempatan Kerja</t>
  </si>
  <si>
    <t>Project Management Office</t>
  </si>
  <si>
    <t>ref_unit_pbj_history</t>
  </si>
  <si>
    <t>kode_history</t>
  </si>
  <si>
    <t>kode_unit_pbj</t>
  </si>
  <si>
    <t>kode_unit_old</t>
  </si>
  <si>
    <t>nama_unit_old</t>
  </si>
  <si>
    <t>kode_pbj_old</t>
  </si>
  <si>
    <t>nama_pbj_old</t>
  </si>
  <si>
    <t>kode_unit_new</t>
  </si>
  <si>
    <t>nama_unit_new</t>
  </si>
  <si>
    <t>kode_pbj_new</t>
  </si>
  <si>
    <t>nama_pbj_new</t>
  </si>
  <si>
    <t>UN31.LLOP</t>
  </si>
  <si>
    <t>UN31.DPK</t>
  </si>
  <si>
    <t>Lembaga Layanan Operasional Pembelajaran</t>
  </si>
  <si>
    <t>Bidang Akademik</t>
  </si>
  <si>
    <t>Bidang Keuangan dan Umum</t>
  </si>
  <si>
    <t>Bidang Sistem Informasi dan Kemahasiswaan</t>
  </si>
  <si>
    <t>Bidang Riset, Inovasi, Kerja Sama dan Bisnis</t>
  </si>
  <si>
    <t>Fakultas Hukum, Ilmu Sosial dan Ilmu Politik</t>
  </si>
  <si>
    <t xml:space="preserve">Kantor Penjaminan Mutu </t>
  </si>
  <si>
    <t>Layanan Luar Negeri</t>
  </si>
  <si>
    <t>Sorong</t>
  </si>
  <si>
    <t>Banda Aceh</t>
  </si>
  <si>
    <t>Medan</t>
  </si>
  <si>
    <t>Batam</t>
  </si>
  <si>
    <t>Padang</t>
  </si>
  <si>
    <t>Pangkalpinang</t>
  </si>
  <si>
    <t>Pekanbaru</t>
  </si>
  <si>
    <t>Jambi</t>
  </si>
  <si>
    <t>Palembang</t>
  </si>
  <si>
    <t>Bengkulu</t>
  </si>
  <si>
    <t>Bandar Lampung</t>
  </si>
  <si>
    <t>Jakarta</t>
  </si>
  <si>
    <t>Serang</t>
  </si>
  <si>
    <t>Bogor</t>
  </si>
  <si>
    <t>Bandung</t>
  </si>
  <si>
    <t>Purwokerto</t>
  </si>
  <si>
    <t>Semarang</t>
  </si>
  <si>
    <t>Surakarta</t>
  </si>
  <si>
    <t>Yogyakarta</t>
  </si>
  <si>
    <t>Pontianak</t>
  </si>
  <si>
    <t>Palangkaraya</t>
  </si>
  <si>
    <t>Banjarmasin</t>
  </si>
  <si>
    <t>Samarinda</t>
  </si>
  <si>
    <t>Tarakan</t>
  </si>
  <si>
    <t>Surabaya</t>
  </si>
  <si>
    <t>Malang</t>
  </si>
  <si>
    <t>Jember</t>
  </si>
  <si>
    <t>Denpasar</t>
  </si>
  <si>
    <t>Mataram</t>
  </si>
  <si>
    <t>Kupang</t>
  </si>
  <si>
    <t>Makassar</t>
  </si>
  <si>
    <t>Majene</t>
  </si>
  <si>
    <t>Palu</t>
  </si>
  <si>
    <t>Kendari</t>
  </si>
  <si>
    <t>Manado</t>
  </si>
  <si>
    <t>Gorontalo</t>
  </si>
  <si>
    <t>Ambon</t>
  </si>
  <si>
    <t>Jayapura</t>
  </si>
  <si>
    <t>Ternate</t>
  </si>
  <si>
    <t>Pusat Pengelola Bisnis dan Investasi</t>
  </si>
  <si>
    <t>Direktorat Manajemen Aset, Umum, Pengadaan Barang dan Jasa</t>
  </si>
  <si>
    <t>usman</t>
  </si>
  <si>
    <t>sippan</t>
  </si>
  <si>
    <t>sidapet.trx_kategori</t>
  </si>
  <si>
    <t>sidapet.trx_penjaringan</t>
  </si>
  <si>
    <t>sibela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</si>
</sst>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FA65-29DC-45DC-948E-BAE618105D6F}">
  <dimension ref="B2:F151"/>
  <sheetViews>
    <sheetView topLeftCell="A121" workbookViewId="0">
      <selection activeCell="A5" sqref="A5"/>
    </sheetView>
  </sheetViews>
  <sheetFormatPr defaultRowHeight="14.4" x14ac:dyDescent="0.3"/>
  <cols>
    <col min="3" max="3" width="14.44140625" bestFit="1" customWidth="1"/>
    <col min="4" max="4" width="54.77734375" bestFit="1" customWidth="1"/>
    <col min="5" max="5" width="14.44140625" bestFit="1" customWidth="1"/>
  </cols>
  <sheetData>
    <row r="2" spans="2:6" x14ac:dyDescent="0.3">
      <c r="B2">
        <v>1</v>
      </c>
      <c r="C2" t="s">
        <v>0</v>
      </c>
      <c r="D2" t="s">
        <v>1</v>
      </c>
      <c r="E2" t="s">
        <v>0</v>
      </c>
      <c r="F2" t="s">
        <v>1</v>
      </c>
    </row>
    <row r="3" spans="2:6" x14ac:dyDescent="0.3">
      <c r="B3">
        <v>2</v>
      </c>
      <c r="C3" t="s">
        <v>0</v>
      </c>
      <c r="D3" t="s">
        <v>1</v>
      </c>
      <c r="E3" t="s">
        <v>2</v>
      </c>
      <c r="F3" t="s">
        <v>3</v>
      </c>
    </row>
    <row r="4" spans="2:6" x14ac:dyDescent="0.3">
      <c r="B4">
        <v>3</v>
      </c>
      <c r="C4" t="s">
        <v>0</v>
      </c>
      <c r="D4" t="s">
        <v>1</v>
      </c>
      <c r="E4" t="s">
        <v>4</v>
      </c>
      <c r="F4" t="s">
        <v>5</v>
      </c>
    </row>
    <row r="5" spans="2:6" x14ac:dyDescent="0.3">
      <c r="B5">
        <v>4</v>
      </c>
      <c r="C5" t="s">
        <v>6</v>
      </c>
      <c r="D5" t="s">
        <v>7</v>
      </c>
      <c r="E5" t="s">
        <v>6</v>
      </c>
      <c r="F5" t="s">
        <v>7</v>
      </c>
    </row>
    <row r="6" spans="2:6" x14ac:dyDescent="0.3">
      <c r="B6">
        <v>5</v>
      </c>
      <c r="C6" t="s">
        <v>0</v>
      </c>
      <c r="D6" t="s">
        <v>1</v>
      </c>
      <c r="E6" t="s">
        <v>8</v>
      </c>
      <c r="F6" t="s">
        <v>9</v>
      </c>
    </row>
    <row r="7" spans="2:6" x14ac:dyDescent="0.3">
      <c r="B7">
        <v>6</v>
      </c>
      <c r="C7" t="s">
        <v>0</v>
      </c>
      <c r="D7" t="s">
        <v>1</v>
      </c>
      <c r="E7" t="s">
        <v>10</v>
      </c>
      <c r="F7" t="s">
        <v>11</v>
      </c>
    </row>
    <row r="8" spans="2:6" x14ac:dyDescent="0.3">
      <c r="B8">
        <v>7</v>
      </c>
      <c r="C8" t="s">
        <v>0</v>
      </c>
      <c r="D8" t="s">
        <v>1</v>
      </c>
      <c r="E8" t="s">
        <v>12</v>
      </c>
      <c r="F8" t="s">
        <v>13</v>
      </c>
    </row>
    <row r="9" spans="2:6" x14ac:dyDescent="0.3">
      <c r="B9">
        <v>8</v>
      </c>
      <c r="C9" t="s">
        <v>14</v>
      </c>
      <c r="D9" t="s">
        <v>15</v>
      </c>
      <c r="E9" t="s">
        <v>14</v>
      </c>
      <c r="F9" t="s">
        <v>15</v>
      </c>
    </row>
    <row r="10" spans="2:6" x14ac:dyDescent="0.3">
      <c r="B10">
        <v>9</v>
      </c>
      <c r="C10" t="s">
        <v>16</v>
      </c>
      <c r="D10" t="s">
        <v>17</v>
      </c>
      <c r="E10" t="s">
        <v>16</v>
      </c>
      <c r="F10" t="s">
        <v>17</v>
      </c>
    </row>
    <row r="11" spans="2:6" x14ac:dyDescent="0.3">
      <c r="B11">
        <v>10</v>
      </c>
      <c r="C11" t="s">
        <v>18</v>
      </c>
      <c r="D11" t="s">
        <v>19</v>
      </c>
      <c r="E11" t="s">
        <v>18</v>
      </c>
      <c r="F11" t="s">
        <v>19</v>
      </c>
    </row>
    <row r="12" spans="2:6" x14ac:dyDescent="0.3">
      <c r="B12">
        <v>11</v>
      </c>
      <c r="C12" t="s">
        <v>20</v>
      </c>
      <c r="D12" t="s">
        <v>21</v>
      </c>
      <c r="E12" t="s">
        <v>20</v>
      </c>
      <c r="F12" t="s">
        <v>21</v>
      </c>
    </row>
    <row r="13" spans="2:6" x14ac:dyDescent="0.3">
      <c r="B13">
        <v>12</v>
      </c>
      <c r="C13" t="s">
        <v>22</v>
      </c>
      <c r="D13" t="s">
        <v>23</v>
      </c>
      <c r="E13" t="s">
        <v>22</v>
      </c>
      <c r="F13" t="s">
        <v>23</v>
      </c>
    </row>
    <row r="14" spans="2:6" x14ac:dyDescent="0.3">
      <c r="B14">
        <v>13</v>
      </c>
      <c r="C14" t="s">
        <v>24</v>
      </c>
      <c r="D14" t="s">
        <v>25</v>
      </c>
      <c r="E14" t="s">
        <v>24</v>
      </c>
      <c r="F14" t="s">
        <v>25</v>
      </c>
    </row>
    <row r="15" spans="2:6" x14ac:dyDescent="0.3">
      <c r="B15">
        <v>14</v>
      </c>
      <c r="C15" t="s">
        <v>26</v>
      </c>
      <c r="D15" t="s">
        <v>27</v>
      </c>
      <c r="E15" t="s">
        <v>26</v>
      </c>
      <c r="F15" t="s">
        <v>27</v>
      </c>
    </row>
    <row r="16" spans="2:6" x14ac:dyDescent="0.3">
      <c r="B16">
        <v>15</v>
      </c>
      <c r="C16" t="s">
        <v>28</v>
      </c>
      <c r="D16" t="s">
        <v>29</v>
      </c>
      <c r="E16" t="s">
        <v>28</v>
      </c>
      <c r="F16" t="s">
        <v>29</v>
      </c>
    </row>
    <row r="17" spans="2:6" x14ac:dyDescent="0.3">
      <c r="B17">
        <v>16</v>
      </c>
      <c r="C17" t="s">
        <v>30</v>
      </c>
      <c r="D17" t="s">
        <v>31</v>
      </c>
      <c r="E17" t="s">
        <v>30</v>
      </c>
      <c r="F17" t="s">
        <v>31</v>
      </c>
    </row>
    <row r="18" spans="2:6" x14ac:dyDescent="0.3">
      <c r="B18">
        <v>17</v>
      </c>
      <c r="C18" t="s">
        <v>32</v>
      </c>
      <c r="D18" t="s">
        <v>33</v>
      </c>
      <c r="E18" t="s">
        <v>32</v>
      </c>
      <c r="F18" t="s">
        <v>33</v>
      </c>
    </row>
    <row r="19" spans="2:6" x14ac:dyDescent="0.3">
      <c r="B19">
        <v>18</v>
      </c>
      <c r="C19" t="s">
        <v>34</v>
      </c>
      <c r="D19" t="s">
        <v>35</v>
      </c>
      <c r="E19" t="s">
        <v>34</v>
      </c>
      <c r="F19" t="s">
        <v>35</v>
      </c>
    </row>
    <row r="20" spans="2:6" x14ac:dyDescent="0.3">
      <c r="B20">
        <v>19</v>
      </c>
      <c r="C20" t="s">
        <v>36</v>
      </c>
      <c r="D20" t="s">
        <v>37</v>
      </c>
      <c r="E20" t="s">
        <v>36</v>
      </c>
      <c r="F20" t="s">
        <v>37</v>
      </c>
    </row>
    <row r="21" spans="2:6" x14ac:dyDescent="0.3">
      <c r="B21">
        <v>20</v>
      </c>
      <c r="C21" t="s">
        <v>38</v>
      </c>
      <c r="D21" t="s">
        <v>39</v>
      </c>
      <c r="E21" t="s">
        <v>38</v>
      </c>
      <c r="F21" t="s">
        <v>39</v>
      </c>
    </row>
    <row r="22" spans="2:6" x14ac:dyDescent="0.3">
      <c r="B22">
        <v>21</v>
      </c>
      <c r="C22" t="s">
        <v>40</v>
      </c>
      <c r="D22" t="s">
        <v>41</v>
      </c>
      <c r="E22" t="s">
        <v>40</v>
      </c>
      <c r="F22" t="s">
        <v>41</v>
      </c>
    </row>
    <row r="23" spans="2:6" x14ac:dyDescent="0.3">
      <c r="B23">
        <v>22</v>
      </c>
      <c r="C23" t="s">
        <v>42</v>
      </c>
      <c r="D23" t="s">
        <v>43</v>
      </c>
      <c r="E23" t="s">
        <v>42</v>
      </c>
      <c r="F23" t="s">
        <v>43</v>
      </c>
    </row>
    <row r="24" spans="2:6" x14ac:dyDescent="0.3">
      <c r="B24">
        <v>23</v>
      </c>
      <c r="C24" t="s">
        <v>44</v>
      </c>
      <c r="D24" t="s">
        <v>45</v>
      </c>
      <c r="E24" t="s">
        <v>44</v>
      </c>
      <c r="F24" t="s">
        <v>45</v>
      </c>
    </row>
    <row r="25" spans="2:6" x14ac:dyDescent="0.3">
      <c r="B25">
        <v>24</v>
      </c>
      <c r="C25" t="s">
        <v>46</v>
      </c>
      <c r="D25" t="s">
        <v>47</v>
      </c>
      <c r="E25" t="s">
        <v>46</v>
      </c>
      <c r="F25" t="s">
        <v>47</v>
      </c>
    </row>
    <row r="26" spans="2:6" x14ac:dyDescent="0.3">
      <c r="B26">
        <v>25</v>
      </c>
      <c r="C26" t="s">
        <v>48</v>
      </c>
      <c r="D26" t="s">
        <v>49</v>
      </c>
      <c r="E26" t="s">
        <v>48</v>
      </c>
      <c r="F26" t="s">
        <v>49</v>
      </c>
    </row>
    <row r="27" spans="2:6" x14ac:dyDescent="0.3">
      <c r="B27">
        <v>26</v>
      </c>
      <c r="C27" t="s">
        <v>50</v>
      </c>
      <c r="D27" t="s">
        <v>51</v>
      </c>
      <c r="E27" t="s">
        <v>50</v>
      </c>
      <c r="F27" t="s">
        <v>51</v>
      </c>
    </row>
    <row r="28" spans="2:6" x14ac:dyDescent="0.3">
      <c r="B28">
        <v>27</v>
      </c>
      <c r="C28" t="s">
        <v>52</v>
      </c>
      <c r="D28" t="s">
        <v>53</v>
      </c>
      <c r="E28" t="s">
        <v>52</v>
      </c>
      <c r="F28" t="s">
        <v>53</v>
      </c>
    </row>
    <row r="29" spans="2:6" x14ac:dyDescent="0.3">
      <c r="B29">
        <v>28</v>
      </c>
      <c r="C29" t="s">
        <v>54</v>
      </c>
      <c r="D29" t="s">
        <v>55</v>
      </c>
      <c r="E29" t="s">
        <v>54</v>
      </c>
      <c r="F29" t="s">
        <v>55</v>
      </c>
    </row>
    <row r="30" spans="2:6" x14ac:dyDescent="0.3">
      <c r="B30">
        <v>29</v>
      </c>
      <c r="C30" t="s">
        <v>56</v>
      </c>
      <c r="D30" t="s">
        <v>57</v>
      </c>
      <c r="E30" t="s">
        <v>56</v>
      </c>
      <c r="F30" t="s">
        <v>57</v>
      </c>
    </row>
    <row r="31" spans="2:6" x14ac:dyDescent="0.3">
      <c r="B31">
        <v>30</v>
      </c>
      <c r="C31" t="s">
        <v>58</v>
      </c>
      <c r="D31" t="s">
        <v>59</v>
      </c>
      <c r="E31" t="s">
        <v>58</v>
      </c>
      <c r="F31" t="s">
        <v>59</v>
      </c>
    </row>
    <row r="32" spans="2:6" x14ac:dyDescent="0.3">
      <c r="B32">
        <v>31</v>
      </c>
      <c r="C32" t="s">
        <v>60</v>
      </c>
      <c r="D32" t="s">
        <v>61</v>
      </c>
      <c r="E32" t="s">
        <v>60</v>
      </c>
      <c r="F32" t="s">
        <v>61</v>
      </c>
    </row>
    <row r="33" spans="2:6" x14ac:dyDescent="0.3">
      <c r="B33">
        <v>32</v>
      </c>
      <c r="C33" t="s">
        <v>62</v>
      </c>
      <c r="D33" t="s">
        <v>63</v>
      </c>
      <c r="E33" t="s">
        <v>62</v>
      </c>
      <c r="F33" t="s">
        <v>63</v>
      </c>
    </row>
    <row r="34" spans="2:6" x14ac:dyDescent="0.3">
      <c r="B34">
        <v>33</v>
      </c>
      <c r="C34" t="s">
        <v>64</v>
      </c>
      <c r="D34" t="s">
        <v>65</v>
      </c>
      <c r="E34" t="s">
        <v>64</v>
      </c>
      <c r="F34" t="s">
        <v>65</v>
      </c>
    </row>
    <row r="35" spans="2:6" x14ac:dyDescent="0.3">
      <c r="B35">
        <v>34</v>
      </c>
      <c r="C35" t="s">
        <v>66</v>
      </c>
      <c r="D35" t="s">
        <v>67</v>
      </c>
      <c r="E35" t="s">
        <v>66</v>
      </c>
      <c r="F35" t="s">
        <v>67</v>
      </c>
    </row>
    <row r="36" spans="2:6" x14ac:dyDescent="0.3">
      <c r="B36">
        <v>35</v>
      </c>
      <c r="C36" t="s">
        <v>68</v>
      </c>
      <c r="D36" t="s">
        <v>69</v>
      </c>
      <c r="E36" t="s">
        <v>68</v>
      </c>
      <c r="F36" t="s">
        <v>69</v>
      </c>
    </row>
    <row r="37" spans="2:6" x14ac:dyDescent="0.3">
      <c r="B37">
        <v>36</v>
      </c>
      <c r="C37" t="s">
        <v>70</v>
      </c>
      <c r="D37" t="s">
        <v>71</v>
      </c>
      <c r="E37" t="s">
        <v>70</v>
      </c>
      <c r="F37" t="s">
        <v>71</v>
      </c>
    </row>
    <row r="38" spans="2:6" x14ac:dyDescent="0.3">
      <c r="B38">
        <v>37</v>
      </c>
      <c r="C38" t="s">
        <v>72</v>
      </c>
      <c r="D38" t="s">
        <v>73</v>
      </c>
      <c r="E38" t="s">
        <v>72</v>
      </c>
      <c r="F38" t="s">
        <v>73</v>
      </c>
    </row>
    <row r="39" spans="2:6" x14ac:dyDescent="0.3">
      <c r="B39">
        <v>38</v>
      </c>
      <c r="C39" t="s">
        <v>74</v>
      </c>
      <c r="D39" t="s">
        <v>75</v>
      </c>
      <c r="E39" t="s">
        <v>74</v>
      </c>
      <c r="F39" t="s">
        <v>75</v>
      </c>
    </row>
    <row r="40" spans="2:6" x14ac:dyDescent="0.3">
      <c r="B40">
        <v>39</v>
      </c>
      <c r="C40" t="s">
        <v>76</v>
      </c>
      <c r="D40" t="s">
        <v>77</v>
      </c>
      <c r="E40" t="s">
        <v>76</v>
      </c>
      <c r="F40" t="s">
        <v>77</v>
      </c>
    </row>
    <row r="41" spans="2:6" x14ac:dyDescent="0.3">
      <c r="B41">
        <v>40</v>
      </c>
      <c r="C41" t="s">
        <v>78</v>
      </c>
      <c r="D41" t="s">
        <v>79</v>
      </c>
      <c r="E41" t="s">
        <v>78</v>
      </c>
      <c r="F41" t="s">
        <v>79</v>
      </c>
    </row>
    <row r="42" spans="2:6" x14ac:dyDescent="0.3">
      <c r="B42">
        <v>41</v>
      </c>
      <c r="C42" t="s">
        <v>80</v>
      </c>
      <c r="D42" t="s">
        <v>81</v>
      </c>
      <c r="E42" t="s">
        <v>80</v>
      </c>
      <c r="F42" t="s">
        <v>81</v>
      </c>
    </row>
    <row r="43" spans="2:6" x14ac:dyDescent="0.3">
      <c r="B43">
        <v>42</v>
      </c>
      <c r="C43" t="s">
        <v>82</v>
      </c>
      <c r="D43" t="s">
        <v>83</v>
      </c>
      <c r="E43" t="s">
        <v>82</v>
      </c>
      <c r="F43" t="s">
        <v>83</v>
      </c>
    </row>
    <row r="44" spans="2:6" x14ac:dyDescent="0.3">
      <c r="B44">
        <v>43</v>
      </c>
      <c r="C44" t="s">
        <v>84</v>
      </c>
      <c r="D44" t="s">
        <v>85</v>
      </c>
      <c r="E44" t="s">
        <v>84</v>
      </c>
      <c r="F44" t="s">
        <v>85</v>
      </c>
    </row>
    <row r="45" spans="2:6" x14ac:dyDescent="0.3">
      <c r="B45">
        <v>44</v>
      </c>
      <c r="C45" t="s">
        <v>86</v>
      </c>
      <c r="D45" t="s">
        <v>87</v>
      </c>
      <c r="E45" t="s">
        <v>86</v>
      </c>
      <c r="F45" t="s">
        <v>87</v>
      </c>
    </row>
    <row r="46" spans="2:6" x14ac:dyDescent="0.3">
      <c r="B46">
        <v>45</v>
      </c>
      <c r="C46" t="s">
        <v>88</v>
      </c>
      <c r="D46" t="s">
        <v>89</v>
      </c>
      <c r="E46" t="s">
        <v>88</v>
      </c>
      <c r="F46" t="s">
        <v>89</v>
      </c>
    </row>
    <row r="47" spans="2:6" x14ac:dyDescent="0.3">
      <c r="B47">
        <v>46</v>
      </c>
      <c r="C47" t="s">
        <v>90</v>
      </c>
      <c r="D47" t="s">
        <v>91</v>
      </c>
      <c r="E47" t="s">
        <v>90</v>
      </c>
      <c r="F47" t="s">
        <v>91</v>
      </c>
    </row>
    <row r="48" spans="2:6" x14ac:dyDescent="0.3">
      <c r="B48">
        <v>47</v>
      </c>
      <c r="C48" t="s">
        <v>92</v>
      </c>
      <c r="D48" t="s">
        <v>93</v>
      </c>
      <c r="E48" t="s">
        <v>92</v>
      </c>
      <c r="F48" t="s">
        <v>93</v>
      </c>
    </row>
    <row r="49" spans="2:6" x14ac:dyDescent="0.3">
      <c r="B49">
        <v>48</v>
      </c>
      <c r="C49" t="s">
        <v>94</v>
      </c>
      <c r="D49" t="s">
        <v>95</v>
      </c>
      <c r="E49" t="s">
        <v>94</v>
      </c>
      <c r="F49" t="s">
        <v>95</v>
      </c>
    </row>
    <row r="50" spans="2:6" x14ac:dyDescent="0.3">
      <c r="B50">
        <v>49</v>
      </c>
      <c r="C50" t="s">
        <v>96</v>
      </c>
      <c r="D50" t="s">
        <v>97</v>
      </c>
      <c r="E50" t="s">
        <v>96</v>
      </c>
      <c r="F50" t="s">
        <v>97</v>
      </c>
    </row>
    <row r="51" spans="2:6" x14ac:dyDescent="0.3">
      <c r="B51">
        <v>50</v>
      </c>
      <c r="C51" t="s">
        <v>98</v>
      </c>
      <c r="D51" t="s">
        <v>99</v>
      </c>
      <c r="E51" t="s">
        <v>98</v>
      </c>
      <c r="F51" t="s">
        <v>99</v>
      </c>
    </row>
    <row r="52" spans="2:6" x14ac:dyDescent="0.3">
      <c r="B52">
        <v>51</v>
      </c>
      <c r="C52" t="s">
        <v>100</v>
      </c>
      <c r="D52" t="s">
        <v>101</v>
      </c>
      <c r="E52" t="s">
        <v>100</v>
      </c>
      <c r="F52" t="s">
        <v>101</v>
      </c>
    </row>
    <row r="53" spans="2:6" x14ac:dyDescent="0.3">
      <c r="B53">
        <v>52</v>
      </c>
      <c r="C53" t="s">
        <v>102</v>
      </c>
      <c r="D53" t="s">
        <v>103</v>
      </c>
      <c r="E53" t="s">
        <v>102</v>
      </c>
      <c r="F53" t="s">
        <v>103</v>
      </c>
    </row>
    <row r="54" spans="2:6" x14ac:dyDescent="0.3">
      <c r="B54">
        <v>53</v>
      </c>
      <c r="C54" t="s">
        <v>104</v>
      </c>
      <c r="D54" t="s">
        <v>105</v>
      </c>
      <c r="E54" t="s">
        <v>104</v>
      </c>
      <c r="F54" t="s">
        <v>105</v>
      </c>
    </row>
    <row r="55" spans="2:6" x14ac:dyDescent="0.3">
      <c r="B55">
        <v>54</v>
      </c>
      <c r="C55" t="s">
        <v>106</v>
      </c>
      <c r="D55" t="s">
        <v>107</v>
      </c>
      <c r="E55" t="s">
        <v>106</v>
      </c>
      <c r="F55" t="s">
        <v>107</v>
      </c>
    </row>
    <row r="56" spans="2:6" x14ac:dyDescent="0.3">
      <c r="B56">
        <v>55</v>
      </c>
      <c r="C56" t="s">
        <v>108</v>
      </c>
      <c r="D56" t="s">
        <v>109</v>
      </c>
      <c r="E56" t="s">
        <v>108</v>
      </c>
      <c r="F56" t="s">
        <v>109</v>
      </c>
    </row>
    <row r="57" spans="2:6" x14ac:dyDescent="0.3">
      <c r="B57">
        <v>56</v>
      </c>
      <c r="C57" t="s">
        <v>110</v>
      </c>
      <c r="D57" t="s">
        <v>111</v>
      </c>
      <c r="E57" t="s">
        <v>110</v>
      </c>
      <c r="F57" t="s">
        <v>111</v>
      </c>
    </row>
    <row r="58" spans="2:6" x14ac:dyDescent="0.3">
      <c r="B58">
        <v>57</v>
      </c>
      <c r="C58" t="s">
        <v>112</v>
      </c>
      <c r="D58" t="s">
        <v>113</v>
      </c>
      <c r="E58" t="s">
        <v>112</v>
      </c>
      <c r="F58" t="s">
        <v>113</v>
      </c>
    </row>
    <row r="59" spans="2:6" x14ac:dyDescent="0.3">
      <c r="B59">
        <v>58</v>
      </c>
      <c r="C59" t="s">
        <v>114</v>
      </c>
      <c r="D59" t="s">
        <v>115</v>
      </c>
      <c r="E59" t="s">
        <v>114</v>
      </c>
      <c r="F59" t="s">
        <v>115</v>
      </c>
    </row>
    <row r="60" spans="2:6" x14ac:dyDescent="0.3">
      <c r="B60">
        <v>59</v>
      </c>
      <c r="C60" t="s">
        <v>116</v>
      </c>
      <c r="D60" t="s">
        <v>117</v>
      </c>
      <c r="E60" t="s">
        <v>116</v>
      </c>
      <c r="F60" t="s">
        <v>117</v>
      </c>
    </row>
    <row r="61" spans="2:6" x14ac:dyDescent="0.3">
      <c r="B61">
        <v>60</v>
      </c>
      <c r="C61" t="s">
        <v>118</v>
      </c>
      <c r="D61" t="s">
        <v>119</v>
      </c>
      <c r="E61" t="s">
        <v>118</v>
      </c>
      <c r="F61" t="s">
        <v>119</v>
      </c>
    </row>
    <row r="62" spans="2:6" x14ac:dyDescent="0.3">
      <c r="B62">
        <v>61</v>
      </c>
      <c r="C62" t="s">
        <v>120</v>
      </c>
      <c r="D62" t="s">
        <v>121</v>
      </c>
      <c r="E62" t="s">
        <v>120</v>
      </c>
      <c r="F62" t="s">
        <v>121</v>
      </c>
    </row>
    <row r="63" spans="2:6" x14ac:dyDescent="0.3">
      <c r="B63">
        <v>62</v>
      </c>
      <c r="C63" t="s">
        <v>122</v>
      </c>
      <c r="D63" t="s">
        <v>123</v>
      </c>
      <c r="E63" t="s">
        <v>122</v>
      </c>
      <c r="F63" t="s">
        <v>123</v>
      </c>
    </row>
    <row r="64" spans="2:6" x14ac:dyDescent="0.3">
      <c r="B64">
        <v>63</v>
      </c>
      <c r="C64" t="s">
        <v>124</v>
      </c>
      <c r="D64" t="s">
        <v>125</v>
      </c>
      <c r="E64" t="s">
        <v>124</v>
      </c>
      <c r="F64" t="s">
        <v>125</v>
      </c>
    </row>
    <row r="65" spans="2:6" x14ac:dyDescent="0.3">
      <c r="B65">
        <v>64</v>
      </c>
      <c r="C65" t="s">
        <v>126</v>
      </c>
      <c r="D65" t="s">
        <v>127</v>
      </c>
      <c r="E65" t="s">
        <v>126</v>
      </c>
      <c r="F65" t="s">
        <v>127</v>
      </c>
    </row>
    <row r="66" spans="2:6" x14ac:dyDescent="0.3">
      <c r="B66">
        <v>65</v>
      </c>
      <c r="C66" t="s">
        <v>128</v>
      </c>
      <c r="D66" t="s">
        <v>129</v>
      </c>
      <c r="E66" t="s">
        <v>128</v>
      </c>
      <c r="F66" t="s">
        <v>129</v>
      </c>
    </row>
    <row r="67" spans="2:6" x14ac:dyDescent="0.3">
      <c r="B67">
        <v>66</v>
      </c>
      <c r="C67" t="s">
        <v>130</v>
      </c>
      <c r="D67" t="s">
        <v>131</v>
      </c>
      <c r="E67" t="s">
        <v>130</v>
      </c>
      <c r="F67" t="s">
        <v>131</v>
      </c>
    </row>
    <row r="68" spans="2:6" x14ac:dyDescent="0.3">
      <c r="B68">
        <v>67</v>
      </c>
      <c r="C68" t="s">
        <v>132</v>
      </c>
      <c r="D68" t="s">
        <v>133</v>
      </c>
      <c r="E68" t="s">
        <v>132</v>
      </c>
      <c r="F68" t="s">
        <v>133</v>
      </c>
    </row>
    <row r="69" spans="2:6" x14ac:dyDescent="0.3">
      <c r="B69">
        <v>68</v>
      </c>
      <c r="C69" t="s">
        <v>134</v>
      </c>
      <c r="D69" t="s">
        <v>135</v>
      </c>
      <c r="E69" t="s">
        <v>134</v>
      </c>
      <c r="F69" t="s">
        <v>135</v>
      </c>
    </row>
    <row r="70" spans="2:6" x14ac:dyDescent="0.3">
      <c r="B70">
        <v>69</v>
      </c>
      <c r="C70" t="s">
        <v>136</v>
      </c>
      <c r="D70" t="s">
        <v>137</v>
      </c>
      <c r="E70" t="s">
        <v>136</v>
      </c>
      <c r="F70" t="s">
        <v>137</v>
      </c>
    </row>
    <row r="71" spans="2:6" x14ac:dyDescent="0.3">
      <c r="B71">
        <v>70</v>
      </c>
      <c r="C71" t="s">
        <v>138</v>
      </c>
      <c r="D71" t="s">
        <v>139</v>
      </c>
      <c r="E71" t="s">
        <v>138</v>
      </c>
      <c r="F71" t="s">
        <v>139</v>
      </c>
    </row>
    <row r="73" spans="2:6" x14ac:dyDescent="0.3">
      <c r="C73" s="1" t="s">
        <v>140</v>
      </c>
    </row>
    <row r="74" spans="2:6" x14ac:dyDescent="0.3">
      <c r="C74" s="1" t="s">
        <v>141</v>
      </c>
    </row>
    <row r="75" spans="2:6" x14ac:dyDescent="0.3">
      <c r="C75" s="1" t="s">
        <v>142</v>
      </c>
    </row>
    <row r="76" spans="2:6" x14ac:dyDescent="0.3">
      <c r="C76" s="1" t="s">
        <v>143</v>
      </c>
    </row>
    <row r="77" spans="2:6" x14ac:dyDescent="0.3">
      <c r="C77" s="1" t="s">
        <v>144</v>
      </c>
    </row>
    <row r="78" spans="2:6" x14ac:dyDescent="0.3">
      <c r="C78" s="1" t="s">
        <v>20</v>
      </c>
    </row>
    <row r="79" spans="2:6" x14ac:dyDescent="0.3">
      <c r="C79" s="1" t="s">
        <v>18</v>
      </c>
    </row>
    <row r="80" spans="2:6" x14ac:dyDescent="0.3">
      <c r="C80" s="1" t="s">
        <v>122</v>
      </c>
    </row>
    <row r="81" spans="3:3" x14ac:dyDescent="0.3">
      <c r="C81" s="1" t="s">
        <v>118</v>
      </c>
    </row>
    <row r="82" spans="3:3" x14ac:dyDescent="0.3">
      <c r="C82" s="1" t="s">
        <v>120</v>
      </c>
    </row>
    <row r="83" spans="3:3" x14ac:dyDescent="0.3">
      <c r="C83" s="1" t="s">
        <v>126</v>
      </c>
    </row>
    <row r="84" spans="3:3" x14ac:dyDescent="0.3">
      <c r="C84" s="1" t="s">
        <v>138</v>
      </c>
    </row>
    <row r="85" spans="3:3" x14ac:dyDescent="0.3">
      <c r="C85" s="1" t="s">
        <v>145</v>
      </c>
    </row>
    <row r="86" spans="3:3" x14ac:dyDescent="0.3">
      <c r="C86" s="1" t="s">
        <v>146</v>
      </c>
    </row>
    <row r="87" spans="3:3" x14ac:dyDescent="0.3">
      <c r="C87" s="1" t="s">
        <v>147</v>
      </c>
    </row>
    <row r="88" spans="3:3" x14ac:dyDescent="0.3">
      <c r="C88" s="1" t="s">
        <v>148</v>
      </c>
    </row>
    <row r="89" spans="3:3" x14ac:dyDescent="0.3">
      <c r="C89" s="1" t="s">
        <v>149</v>
      </c>
    </row>
    <row r="90" spans="3:3" x14ac:dyDescent="0.3">
      <c r="C90" s="1" t="s">
        <v>150</v>
      </c>
    </row>
    <row r="91" spans="3:3" x14ac:dyDescent="0.3">
      <c r="C91" s="1" t="s">
        <v>151</v>
      </c>
    </row>
    <row r="92" spans="3:3" x14ac:dyDescent="0.3">
      <c r="C92" s="1" t="s">
        <v>152</v>
      </c>
    </row>
    <row r="93" spans="3:3" x14ac:dyDescent="0.3">
      <c r="C93" s="1" t="s">
        <v>130</v>
      </c>
    </row>
    <row r="94" spans="3:3" x14ac:dyDescent="0.3">
      <c r="C94" s="1" t="s">
        <v>128</v>
      </c>
    </row>
    <row r="95" spans="3:3" x14ac:dyDescent="0.3">
      <c r="C95" s="1" t="s">
        <v>104</v>
      </c>
    </row>
    <row r="96" spans="3:3" x14ac:dyDescent="0.3">
      <c r="C96" s="1" t="s">
        <v>26</v>
      </c>
    </row>
    <row r="97" spans="3:3" x14ac:dyDescent="0.3">
      <c r="C97" s="1" t="s">
        <v>28</v>
      </c>
    </row>
    <row r="98" spans="3:3" x14ac:dyDescent="0.3">
      <c r="C98" s="1" t="s">
        <v>30</v>
      </c>
    </row>
    <row r="99" spans="3:3" x14ac:dyDescent="0.3">
      <c r="C99" s="1" t="s">
        <v>32</v>
      </c>
    </row>
    <row r="100" spans="3:3" x14ac:dyDescent="0.3">
      <c r="C100" s="1" t="s">
        <v>34</v>
      </c>
    </row>
    <row r="101" spans="3:3" x14ac:dyDescent="0.3">
      <c r="C101" s="1" t="s">
        <v>36</v>
      </c>
    </row>
    <row r="102" spans="3:3" x14ac:dyDescent="0.3">
      <c r="C102" s="1" t="s">
        <v>38</v>
      </c>
    </row>
    <row r="103" spans="3:3" x14ac:dyDescent="0.3">
      <c r="C103" s="1" t="s">
        <v>40</v>
      </c>
    </row>
    <row r="104" spans="3:3" x14ac:dyDescent="0.3">
      <c r="C104" s="1" t="s">
        <v>42</v>
      </c>
    </row>
    <row r="105" spans="3:3" x14ac:dyDescent="0.3">
      <c r="C105" s="1" t="s">
        <v>44</v>
      </c>
    </row>
    <row r="106" spans="3:3" x14ac:dyDescent="0.3">
      <c r="C106" s="1" t="s">
        <v>46</v>
      </c>
    </row>
    <row r="107" spans="3:3" x14ac:dyDescent="0.3">
      <c r="C107" s="1" t="s">
        <v>48</v>
      </c>
    </row>
    <row r="108" spans="3:3" x14ac:dyDescent="0.3">
      <c r="C108" s="1" t="s">
        <v>50</v>
      </c>
    </row>
    <row r="109" spans="3:3" x14ac:dyDescent="0.3">
      <c r="C109" s="1" t="s">
        <v>52</v>
      </c>
    </row>
    <row r="110" spans="3:3" x14ac:dyDescent="0.3">
      <c r="C110" s="1" t="s">
        <v>54</v>
      </c>
    </row>
    <row r="111" spans="3:3" x14ac:dyDescent="0.3">
      <c r="C111" s="1" t="s">
        <v>56</v>
      </c>
    </row>
    <row r="112" spans="3:3" x14ac:dyDescent="0.3">
      <c r="C112" s="1" t="s">
        <v>58</v>
      </c>
    </row>
    <row r="113" spans="3:3" x14ac:dyDescent="0.3">
      <c r="C113" s="1" t="s">
        <v>60</v>
      </c>
    </row>
    <row r="114" spans="3:3" x14ac:dyDescent="0.3">
      <c r="C114" s="1" t="s">
        <v>62</v>
      </c>
    </row>
    <row r="115" spans="3:3" x14ac:dyDescent="0.3">
      <c r="C115" s="1" t="s">
        <v>64</v>
      </c>
    </row>
    <row r="116" spans="3:3" x14ac:dyDescent="0.3">
      <c r="C116" s="1" t="s">
        <v>66</v>
      </c>
    </row>
    <row r="117" spans="3:3" x14ac:dyDescent="0.3">
      <c r="C117" s="1" t="s">
        <v>68</v>
      </c>
    </row>
    <row r="118" spans="3:3" x14ac:dyDescent="0.3">
      <c r="C118" s="1" t="s">
        <v>70</v>
      </c>
    </row>
    <row r="119" spans="3:3" x14ac:dyDescent="0.3">
      <c r="C119" s="1" t="s">
        <v>72</v>
      </c>
    </row>
    <row r="120" spans="3:3" x14ac:dyDescent="0.3">
      <c r="C120" s="1" t="s">
        <v>74</v>
      </c>
    </row>
    <row r="121" spans="3:3" x14ac:dyDescent="0.3">
      <c r="C121" s="1" t="s">
        <v>76</v>
      </c>
    </row>
    <row r="122" spans="3:3" x14ac:dyDescent="0.3">
      <c r="C122" s="1" t="s">
        <v>78</v>
      </c>
    </row>
    <row r="123" spans="3:3" x14ac:dyDescent="0.3">
      <c r="C123" s="1" t="s">
        <v>80</v>
      </c>
    </row>
    <row r="124" spans="3:3" x14ac:dyDescent="0.3">
      <c r="C124" s="1" t="s">
        <v>82</v>
      </c>
    </row>
    <row r="125" spans="3:3" x14ac:dyDescent="0.3">
      <c r="C125" s="1" t="s">
        <v>84</v>
      </c>
    </row>
    <row r="126" spans="3:3" x14ac:dyDescent="0.3">
      <c r="C126" s="1" t="s">
        <v>86</v>
      </c>
    </row>
    <row r="127" spans="3:3" x14ac:dyDescent="0.3">
      <c r="C127" s="1" t="s">
        <v>88</v>
      </c>
    </row>
    <row r="128" spans="3:3" x14ac:dyDescent="0.3">
      <c r="C128" s="1" t="s">
        <v>90</v>
      </c>
    </row>
    <row r="129" spans="3:3" x14ac:dyDescent="0.3">
      <c r="C129" s="1" t="s">
        <v>92</v>
      </c>
    </row>
    <row r="130" spans="3:3" x14ac:dyDescent="0.3">
      <c r="C130" s="1" t="s">
        <v>94</v>
      </c>
    </row>
    <row r="131" spans="3:3" x14ac:dyDescent="0.3">
      <c r="C131" s="1" t="s">
        <v>96</v>
      </c>
    </row>
    <row r="132" spans="3:3" x14ac:dyDescent="0.3">
      <c r="C132" s="1" t="s">
        <v>98</v>
      </c>
    </row>
    <row r="133" spans="3:3" x14ac:dyDescent="0.3">
      <c r="C133" s="1" t="s">
        <v>100</v>
      </c>
    </row>
    <row r="134" spans="3:3" x14ac:dyDescent="0.3">
      <c r="C134" s="1" t="s">
        <v>102</v>
      </c>
    </row>
    <row r="135" spans="3:3" x14ac:dyDescent="0.3">
      <c r="C135" s="1" t="s">
        <v>153</v>
      </c>
    </row>
    <row r="136" spans="3:3" x14ac:dyDescent="0.3">
      <c r="C136" s="1" t="s">
        <v>154</v>
      </c>
    </row>
    <row r="137" spans="3:3" x14ac:dyDescent="0.3">
      <c r="C137" s="1" t="s">
        <v>24</v>
      </c>
    </row>
    <row r="138" spans="3:3" x14ac:dyDescent="0.3">
      <c r="C138" s="1" t="s">
        <v>136</v>
      </c>
    </row>
    <row r="139" spans="3:3" x14ac:dyDescent="0.3">
      <c r="C139" s="1" t="s">
        <v>134</v>
      </c>
    </row>
    <row r="140" spans="3:3" x14ac:dyDescent="0.3">
      <c r="C140" s="1" t="s">
        <v>22</v>
      </c>
    </row>
    <row r="141" spans="3:3" x14ac:dyDescent="0.3">
      <c r="C141" s="1" t="s">
        <v>155</v>
      </c>
    </row>
    <row r="142" spans="3:3" x14ac:dyDescent="0.3">
      <c r="C142" s="1" t="s">
        <v>114</v>
      </c>
    </row>
    <row r="143" spans="3:3" x14ac:dyDescent="0.3">
      <c r="C143" s="1" t="s">
        <v>156</v>
      </c>
    </row>
    <row r="144" spans="3:3" x14ac:dyDescent="0.3">
      <c r="C144" s="1" t="s">
        <v>0</v>
      </c>
    </row>
    <row r="145" spans="3:3" x14ac:dyDescent="0.3">
      <c r="C145" s="1" t="s">
        <v>124</v>
      </c>
    </row>
    <row r="146" spans="3:3" x14ac:dyDescent="0.3">
      <c r="C146" s="1" t="s">
        <v>157</v>
      </c>
    </row>
    <row r="147" spans="3:3" x14ac:dyDescent="0.3">
      <c r="C147" s="1" t="s">
        <v>158</v>
      </c>
    </row>
    <row r="148" spans="3:3" x14ac:dyDescent="0.3">
      <c r="C148" s="1" t="s">
        <v>159</v>
      </c>
    </row>
    <row r="149" spans="3:3" x14ac:dyDescent="0.3">
      <c r="C149" s="1" t="s">
        <v>160</v>
      </c>
    </row>
    <row r="150" spans="3:3" x14ac:dyDescent="0.3">
      <c r="C150" s="1" t="s">
        <v>161</v>
      </c>
    </row>
    <row r="151" spans="3:3" x14ac:dyDescent="0.3">
      <c r="C151" s="1" t="s">
        <v>162</v>
      </c>
    </row>
  </sheetData>
  <conditionalFormatting sqref="C1:C1048576">
    <cfRule type="duplicateValues" dxfId="4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6BB64-FA59-4E7A-8CAB-33620FCCC50A}">
  <dimension ref="B2:H148"/>
  <sheetViews>
    <sheetView topLeftCell="B1" workbookViewId="0">
      <selection activeCell="H9" sqref="H9"/>
    </sheetView>
  </sheetViews>
  <sheetFormatPr defaultRowHeight="14.4" x14ac:dyDescent="0.3"/>
  <cols>
    <col min="2" max="2" width="14.44140625" bestFit="1" customWidth="1"/>
    <col min="5" max="5" width="14.44140625" bestFit="1" customWidth="1"/>
    <col min="6" max="6" width="54.6640625" bestFit="1" customWidth="1"/>
  </cols>
  <sheetData>
    <row r="2" spans="2:8" x14ac:dyDescent="0.3">
      <c r="B2" t="s">
        <v>30</v>
      </c>
      <c r="E2" t="s">
        <v>30</v>
      </c>
    </row>
    <row r="3" spans="2:8" x14ac:dyDescent="0.3">
      <c r="B3" t="s">
        <v>18</v>
      </c>
      <c r="E3" t="s">
        <v>18</v>
      </c>
    </row>
    <row r="4" spans="2:8" x14ac:dyDescent="0.3">
      <c r="B4" t="s">
        <v>70</v>
      </c>
      <c r="E4" t="s">
        <v>70</v>
      </c>
    </row>
    <row r="5" spans="2:8" x14ac:dyDescent="0.3">
      <c r="B5" t="s">
        <v>40</v>
      </c>
      <c r="E5" t="s">
        <v>40</v>
      </c>
    </row>
    <row r="6" spans="2:8" x14ac:dyDescent="0.3">
      <c r="B6" t="s">
        <v>100</v>
      </c>
      <c r="E6" t="s">
        <v>100</v>
      </c>
    </row>
    <row r="7" spans="2:8" x14ac:dyDescent="0.3">
      <c r="B7" t="s">
        <v>56</v>
      </c>
      <c r="E7" t="s">
        <v>56</v>
      </c>
    </row>
    <row r="8" spans="2:8" x14ac:dyDescent="0.3">
      <c r="B8" t="s">
        <v>46</v>
      </c>
      <c r="E8" t="s">
        <v>46</v>
      </c>
    </row>
    <row r="9" spans="2:8" x14ac:dyDescent="0.3">
      <c r="B9" t="s">
        <v>6</v>
      </c>
      <c r="E9" t="s">
        <v>153</v>
      </c>
      <c r="F9" t="s">
        <v>163</v>
      </c>
      <c r="H9" t="str">
        <f>"UPDATE ref_unit_pbj SET kode_unit = '"&amp;E9&amp;"', kode_pbj = '"&amp;E9&amp;"', nama_unit='"&amp;F9&amp;"', nama_pbj='"&amp;F9&amp;"' WHERE kode_unit = '"&amp;B9&amp;"';"</f>
        <v>UPDATE ref_unit_pbj SET kode_unit = 'UN31.DTD', kode_pbj = 'UN31.DTD', nama_unit='Direktorat Teknologi Digital', nama_pbj='Direktorat Teknologi Digital' WHERE kode_unit = 'UN31.DSI';</v>
      </c>
    </row>
    <row r="10" spans="2:8" x14ac:dyDescent="0.3">
      <c r="B10" t="s">
        <v>134</v>
      </c>
      <c r="E10" t="s">
        <v>134</v>
      </c>
      <c r="H10" s="8"/>
    </row>
    <row r="11" spans="2:8" x14ac:dyDescent="0.3">
      <c r="B11" t="s">
        <v>118</v>
      </c>
      <c r="E11" t="s">
        <v>118</v>
      </c>
      <c r="H11" s="8"/>
    </row>
    <row r="12" spans="2:8" x14ac:dyDescent="0.3">
      <c r="B12" t="s">
        <v>58</v>
      </c>
      <c r="E12" t="s">
        <v>58</v>
      </c>
      <c r="H12" s="8"/>
    </row>
    <row r="13" spans="2:8" x14ac:dyDescent="0.3">
      <c r="B13" t="s">
        <v>24</v>
      </c>
      <c r="E13" t="s">
        <v>24</v>
      </c>
      <c r="H13" s="8"/>
    </row>
    <row r="14" spans="2:8" x14ac:dyDescent="0.3">
      <c r="B14" t="s">
        <v>32</v>
      </c>
      <c r="E14" t="s">
        <v>32</v>
      </c>
      <c r="H14" s="8"/>
    </row>
    <row r="15" spans="2:8" x14ac:dyDescent="0.3">
      <c r="B15" t="s">
        <v>128</v>
      </c>
      <c r="E15" t="s">
        <v>128</v>
      </c>
      <c r="H15" s="8"/>
    </row>
    <row r="16" spans="2:8" x14ac:dyDescent="0.3">
      <c r="B16" t="s">
        <v>124</v>
      </c>
      <c r="E16" t="s">
        <v>124</v>
      </c>
      <c r="H16" s="8"/>
    </row>
    <row r="17" spans="2:8" x14ac:dyDescent="0.3">
      <c r="B17" t="s">
        <v>98</v>
      </c>
      <c r="E17" t="s">
        <v>98</v>
      </c>
      <c r="H17" s="8"/>
    </row>
    <row r="18" spans="2:8" x14ac:dyDescent="0.3">
      <c r="B18" t="s">
        <v>20</v>
      </c>
      <c r="E18" t="s">
        <v>20</v>
      </c>
      <c r="H18" s="8"/>
    </row>
    <row r="19" spans="2:8" x14ac:dyDescent="0.3">
      <c r="B19" t="s">
        <v>86</v>
      </c>
      <c r="E19" t="s">
        <v>86</v>
      </c>
      <c r="H19" s="8"/>
    </row>
    <row r="20" spans="2:8" x14ac:dyDescent="0.3">
      <c r="B20" t="s">
        <v>72</v>
      </c>
      <c r="E20" t="s">
        <v>72</v>
      </c>
      <c r="H20" s="8"/>
    </row>
    <row r="21" spans="2:8" x14ac:dyDescent="0.3">
      <c r="B21" t="s">
        <v>92</v>
      </c>
      <c r="E21" t="s">
        <v>92</v>
      </c>
      <c r="H21" s="8"/>
    </row>
    <row r="22" spans="2:8" x14ac:dyDescent="0.3">
      <c r="B22" t="s">
        <v>16</v>
      </c>
      <c r="E22" t="s">
        <v>154</v>
      </c>
      <c r="F22" t="s">
        <v>164</v>
      </c>
      <c r="H22" s="12" t="str">
        <f>"UPDATE ref_unit_pbj SET kode_unit = '"&amp;E22&amp;"', kode_pbj = '"&amp;E22&amp;"', nama_unit='"&amp;F22&amp;"', nama_pbj='"&amp;F22&amp;"' WHERE kode_unit = '"&amp;B22&amp;"';"</f>
        <v>UPDATE ref_unit_pbj SET kode_unit = 'UN31.PBI', kode_pbj = 'UN31.PBI', nama_unit='Pusat Bisnis dan Investasi', nama_pbj='Pusat Bisnis dan Investasi' WHERE kode_unit = 'UN31.PPBI';</v>
      </c>
    </row>
    <row r="23" spans="2:8" x14ac:dyDescent="0.3">
      <c r="B23" t="s">
        <v>136</v>
      </c>
      <c r="E23" t="s">
        <v>136</v>
      </c>
      <c r="H23" s="8"/>
    </row>
    <row r="24" spans="2:8" x14ac:dyDescent="0.3">
      <c r="B24" t="s">
        <v>14</v>
      </c>
      <c r="E24" t="s">
        <v>158</v>
      </c>
      <c r="F24" t="s">
        <v>165</v>
      </c>
      <c r="H24" s="12" t="str">
        <f>"UPDATE ref_unit_pbj SET kode_unit = '"&amp;E24&amp;"', kode_pbj = '"&amp;E24&amp;"', nama_unit='"&amp;F24&amp;"', nama_pbj='"&amp;F24&amp;"' WHERE kode_unit = '"&amp;B24&amp;"';"</f>
        <v>UPDATE ref_unit_pbj SET kode_unit = 'UN31.SEKUN', kode_pbj = 'UN31.SEKUN', nama_unit='Sekretariat Universitas', nama_pbj='Sekretariat Universitas' WHERE kode_unit = 'UN31.SRUH';</v>
      </c>
    </row>
    <row r="25" spans="2:8" x14ac:dyDescent="0.3">
      <c r="B25" t="s">
        <v>62</v>
      </c>
      <c r="E25" t="s">
        <v>62</v>
      </c>
      <c r="H25" s="8"/>
    </row>
    <row r="26" spans="2:8" x14ac:dyDescent="0.3">
      <c r="B26" t="s">
        <v>122</v>
      </c>
      <c r="E26" t="s">
        <v>122</v>
      </c>
      <c r="H26" s="8"/>
    </row>
    <row r="27" spans="2:8" x14ac:dyDescent="0.3">
      <c r="B27" t="s">
        <v>88</v>
      </c>
      <c r="E27" t="s">
        <v>88</v>
      </c>
      <c r="H27" s="8"/>
    </row>
    <row r="28" spans="2:8" x14ac:dyDescent="0.3">
      <c r="B28" t="s">
        <v>34</v>
      </c>
      <c r="E28" t="s">
        <v>34</v>
      </c>
      <c r="H28" s="8"/>
    </row>
    <row r="29" spans="2:8" x14ac:dyDescent="0.3">
      <c r="B29" t="s">
        <v>102</v>
      </c>
      <c r="E29" t="s">
        <v>102</v>
      </c>
      <c r="H29" s="8"/>
    </row>
    <row r="30" spans="2:8" x14ac:dyDescent="0.3">
      <c r="B30" t="s">
        <v>36</v>
      </c>
      <c r="E30" t="s">
        <v>36</v>
      </c>
      <c r="H30" s="8"/>
    </row>
    <row r="31" spans="2:8" x14ac:dyDescent="0.3">
      <c r="B31" t="s">
        <v>54</v>
      </c>
      <c r="E31" t="s">
        <v>54</v>
      </c>
      <c r="H31" s="8"/>
    </row>
    <row r="32" spans="2:8" x14ac:dyDescent="0.3">
      <c r="B32" t="s">
        <v>114</v>
      </c>
      <c r="E32" t="s">
        <v>114</v>
      </c>
      <c r="H32" s="8"/>
    </row>
    <row r="33" spans="2:8" x14ac:dyDescent="0.3">
      <c r="B33" t="s">
        <v>112</v>
      </c>
      <c r="E33" s="3" t="s">
        <v>152</v>
      </c>
      <c r="F33" s="3" t="s">
        <v>166</v>
      </c>
      <c r="H33" s="12" t="str">
        <f>"UPDATE ref_unit_pbj SET kode_unit = '"&amp;E33&amp;"', kode_pbj = '"&amp;E33&amp;"', nama_unit='"&amp;F33&amp;"', nama_pbj='"&amp;F33&amp;"' WHERE kode_unit = '"&amp;B33&amp;"';"</f>
        <v>UPDATE ref_unit_pbj SET kode_unit = 'UN31.LPPJJ4', kode_pbj = 'UN31.LPPJJ4', nama_unit='Pusat Pengelolaan Ujian', nama_pbj='Pusat Pengelolaan Ujian' WHERE kode_unit = 'UN31.LLOP4';</v>
      </c>
    </row>
    <row r="34" spans="2:8" x14ac:dyDescent="0.3">
      <c r="B34" t="s">
        <v>126</v>
      </c>
      <c r="E34" t="s">
        <v>126</v>
      </c>
      <c r="H34" s="8"/>
    </row>
    <row r="35" spans="2:8" x14ac:dyDescent="0.3">
      <c r="B35" t="s">
        <v>38</v>
      </c>
      <c r="E35" t="s">
        <v>38</v>
      </c>
      <c r="H35" s="8"/>
    </row>
    <row r="36" spans="2:8" x14ac:dyDescent="0.3">
      <c r="B36" t="s">
        <v>26</v>
      </c>
      <c r="E36" t="s">
        <v>26</v>
      </c>
      <c r="H36" s="8"/>
    </row>
    <row r="37" spans="2:8" x14ac:dyDescent="0.3">
      <c r="B37" t="s">
        <v>90</v>
      </c>
      <c r="E37" t="s">
        <v>90</v>
      </c>
      <c r="H37" s="8"/>
    </row>
    <row r="38" spans="2:8" x14ac:dyDescent="0.3">
      <c r="B38" t="s">
        <v>197</v>
      </c>
      <c r="E38" s="4" t="s">
        <v>157</v>
      </c>
      <c r="F38" s="4" t="s">
        <v>167</v>
      </c>
      <c r="H38" s="12" t="str">
        <f>"UPDATE ref_unit_pbj SET kode_unit = '"&amp;E38&amp;"', kode_pbj = '"&amp;E38&amp;"', nama_unit='"&amp;F38&amp;"', nama_pbj='"&amp;F38&amp;"' WHERE kode_unit = '"&amp;B38&amp;"';"</f>
        <v>UPDATE ref_unit_pbj SET kode_unit = 'UN31.PKPK', kode_pbj = 'UN31.PKPK', nama_unit='Pusat Komunikasi Publik dan Kerja Sama', nama_pbj='Pusat Komunikasi Publik dan Kerja Sama' WHERE kode_unit = 'UN31.DPK';</v>
      </c>
    </row>
    <row r="39" spans="2:8" x14ac:dyDescent="0.3">
      <c r="B39" t="s">
        <v>94</v>
      </c>
      <c r="E39" s="8" t="s">
        <v>94</v>
      </c>
      <c r="H39" s="8"/>
    </row>
    <row r="40" spans="2:8" x14ac:dyDescent="0.3">
      <c r="B40" t="s">
        <v>0</v>
      </c>
      <c r="E40" s="8" t="s">
        <v>0</v>
      </c>
      <c r="H40" s="8"/>
    </row>
    <row r="41" spans="2:8" x14ac:dyDescent="0.3">
      <c r="B41" t="s">
        <v>138</v>
      </c>
      <c r="E41" s="8" t="s">
        <v>138</v>
      </c>
      <c r="H41" s="8"/>
    </row>
    <row r="42" spans="2:8" x14ac:dyDescent="0.3">
      <c r="B42" t="s">
        <v>22</v>
      </c>
      <c r="E42" s="8" t="s">
        <v>22</v>
      </c>
      <c r="H42" s="8"/>
    </row>
    <row r="43" spans="2:8" x14ac:dyDescent="0.3">
      <c r="B43" t="s">
        <v>84</v>
      </c>
      <c r="E43" s="8" t="s">
        <v>84</v>
      </c>
      <c r="H43" s="8"/>
    </row>
    <row r="44" spans="2:8" x14ac:dyDescent="0.3">
      <c r="B44" t="s">
        <v>68</v>
      </c>
      <c r="E44" s="8" t="s">
        <v>68</v>
      </c>
      <c r="H44" s="8"/>
    </row>
    <row r="45" spans="2:8" x14ac:dyDescent="0.3">
      <c r="B45" t="s">
        <v>50</v>
      </c>
      <c r="E45" s="8" t="s">
        <v>50</v>
      </c>
      <c r="H45" s="8"/>
    </row>
    <row r="46" spans="2:8" x14ac:dyDescent="0.3">
      <c r="B46" t="s">
        <v>82</v>
      </c>
      <c r="E46" s="8" t="s">
        <v>82</v>
      </c>
      <c r="H46" s="8"/>
    </row>
    <row r="47" spans="2:8" x14ac:dyDescent="0.3">
      <c r="B47" t="s">
        <v>44</v>
      </c>
      <c r="E47" s="8" t="s">
        <v>44</v>
      </c>
      <c r="H47" s="8"/>
    </row>
    <row r="48" spans="2:8" x14ac:dyDescent="0.3">
      <c r="B48" t="s">
        <v>104</v>
      </c>
      <c r="E48" s="8" t="s">
        <v>104</v>
      </c>
      <c r="H48" s="8"/>
    </row>
    <row r="49" spans="2:8" x14ac:dyDescent="0.3">
      <c r="B49" t="s">
        <v>52</v>
      </c>
      <c r="E49" s="8" t="s">
        <v>52</v>
      </c>
      <c r="H49" s="8"/>
    </row>
    <row r="50" spans="2:8" x14ac:dyDescent="0.3">
      <c r="B50" t="s">
        <v>80</v>
      </c>
      <c r="E50" s="8" t="s">
        <v>80</v>
      </c>
      <c r="H50" s="8"/>
    </row>
    <row r="51" spans="2:8" x14ac:dyDescent="0.3">
      <c r="B51" t="s">
        <v>96</v>
      </c>
      <c r="E51" s="8" t="s">
        <v>96</v>
      </c>
      <c r="H51" s="8"/>
    </row>
    <row r="52" spans="2:8" x14ac:dyDescent="0.3">
      <c r="B52" t="s">
        <v>28</v>
      </c>
      <c r="E52" s="8" t="s">
        <v>28</v>
      </c>
      <c r="H52" s="8"/>
    </row>
    <row r="53" spans="2:8" x14ac:dyDescent="0.3">
      <c r="B53" t="s">
        <v>108</v>
      </c>
      <c r="E53" s="5" t="s">
        <v>150</v>
      </c>
      <c r="F53" s="5" t="s">
        <v>168</v>
      </c>
      <c r="H53" s="12" t="str">
        <f>"UPDATE ref_unit_pbj SET kode_unit = '"&amp;E53&amp;"', kode_pbj = '"&amp;E53&amp;"', nama_unit='"&amp;F53&amp;"', nama_pbj='"&amp;F53&amp;"' WHERE kode_unit = '"&amp;B53&amp;"';"</f>
        <v>UPDATE ref_unit_pbj SET kode_unit = 'UN31.LPPJJ2', kode_pbj = 'UN31.LPPJJ2', nama_unit='Pusat Distribusi Bahan Ajar', nama_pbj='Pusat Distribusi Bahan Ajar' WHERE kode_unit = 'UN31.LLOP2';</v>
      </c>
    </row>
    <row r="54" spans="2:8" x14ac:dyDescent="0.3">
      <c r="B54" t="s">
        <v>64</v>
      </c>
      <c r="E54" s="8" t="s">
        <v>64</v>
      </c>
      <c r="H54" s="8"/>
    </row>
    <row r="55" spans="2:8" x14ac:dyDescent="0.3">
      <c r="B55" t="s">
        <v>76</v>
      </c>
      <c r="E55" s="8" t="s">
        <v>76</v>
      </c>
      <c r="H55" s="8"/>
    </row>
    <row r="56" spans="2:8" x14ac:dyDescent="0.3">
      <c r="B56" t="s">
        <v>130</v>
      </c>
      <c r="E56" s="8" t="s">
        <v>130</v>
      </c>
      <c r="H56" s="8"/>
    </row>
    <row r="57" spans="2:8" x14ac:dyDescent="0.3">
      <c r="B57" t="s">
        <v>110</v>
      </c>
      <c r="E57" s="6" t="s">
        <v>151</v>
      </c>
      <c r="F57" s="6" t="s">
        <v>111</v>
      </c>
      <c r="H57" s="12" t="str">
        <f t="shared" ref="H57:H58" si="0">"UPDATE ref_unit_pbj SET kode_unit = '"&amp;E57&amp;"', kode_pbj = '"&amp;E57&amp;"', nama_unit='"&amp;F57&amp;"', nama_pbj='"&amp;F57&amp;"' WHERE kode_unit = '"&amp;B57&amp;"';"</f>
        <v>UPDATE ref_unit_pbj SET kode_unit = 'UN31.LPPJJ3', kode_pbj = 'UN31.LPPJJ3', nama_unit='Pusat Pengelolaan Pembelajaran', nama_pbj='Pusat Pengelolaan Pembelajaran' WHERE kode_unit = 'UN31.LLOP3';</v>
      </c>
    </row>
    <row r="58" spans="2:8" x14ac:dyDescent="0.3">
      <c r="B58" t="s">
        <v>106</v>
      </c>
      <c r="E58" s="7" t="s">
        <v>149</v>
      </c>
      <c r="F58" s="7" t="s">
        <v>169</v>
      </c>
      <c r="H58" s="12" t="str">
        <f t="shared" si="0"/>
        <v>UPDATE ref_unit_pbj SET kode_unit = 'UN31.LPPJJ1', kode_pbj = 'UN31.LPPJJ1', nama_unit='Pusat Produksi Bahan Ajar dan Multimedia', nama_pbj='Pusat Produksi Bahan Ajar dan Multimedia' WHERE kode_unit = 'UN31.LLOP1';</v>
      </c>
    </row>
    <row r="59" spans="2:8" x14ac:dyDescent="0.3">
      <c r="B59" t="s">
        <v>42</v>
      </c>
      <c r="E59" t="s">
        <v>42</v>
      </c>
      <c r="H59" s="8"/>
    </row>
    <row r="60" spans="2:8" x14ac:dyDescent="0.3">
      <c r="B60" t="s">
        <v>60</v>
      </c>
      <c r="E60" t="s">
        <v>60</v>
      </c>
      <c r="H60" s="8"/>
    </row>
    <row r="61" spans="2:8" x14ac:dyDescent="0.3">
      <c r="B61" t="s">
        <v>78</v>
      </c>
      <c r="E61" t="s">
        <v>78</v>
      </c>
      <c r="H61" s="8"/>
    </row>
    <row r="62" spans="2:8" x14ac:dyDescent="0.3">
      <c r="B62" t="s">
        <v>74</v>
      </c>
      <c r="E62" t="s">
        <v>74</v>
      </c>
      <c r="H62" s="8"/>
    </row>
    <row r="63" spans="2:8" x14ac:dyDescent="0.3">
      <c r="B63" t="s">
        <v>120</v>
      </c>
      <c r="E63" t="s">
        <v>120</v>
      </c>
      <c r="H63" s="8"/>
    </row>
    <row r="64" spans="2:8" x14ac:dyDescent="0.3">
      <c r="B64" t="s">
        <v>66</v>
      </c>
      <c r="E64" t="s">
        <v>66</v>
      </c>
      <c r="H64" s="8"/>
    </row>
    <row r="65" spans="2:8" x14ac:dyDescent="0.3">
      <c r="B65" t="s">
        <v>116</v>
      </c>
      <c r="E65" s="8" t="s">
        <v>156</v>
      </c>
      <c r="F65" s="8" t="s">
        <v>170</v>
      </c>
      <c r="H65" s="12" t="str">
        <f t="shared" ref="H65" si="1">"UPDATE ref_unit_pbj SET kode_unit = '"&amp;E65&amp;"', kode_pbj = '"&amp;E65&amp;"', nama_unit='"&amp;F65&amp;"', nama_pbj='"&amp;F65&amp;"' WHERE kode_unit = '"&amp;B65&amp;"';"</f>
        <v>UPDATE ref_unit_pbj SET kode_unit = 'UN31.DSDM', kode_pbj = 'UN31.DSDM', nama_unit='Direktorat Sumber Daya Manusia', nama_pbj='Direktorat Sumber Daya Manusia' WHERE kode_unit = 'UN31.PSDM';</v>
      </c>
    </row>
    <row r="66" spans="2:8" x14ac:dyDescent="0.3">
      <c r="B66" t="s">
        <v>48</v>
      </c>
      <c r="E66" t="s">
        <v>48</v>
      </c>
    </row>
    <row r="67" spans="2:8" s="17" customFormat="1" x14ac:dyDescent="0.3">
      <c r="E67" s="18"/>
      <c r="F67" s="19"/>
      <c r="H67" s="19"/>
    </row>
    <row r="70" spans="2:8" x14ac:dyDescent="0.3">
      <c r="B70" s="2" t="s">
        <v>140</v>
      </c>
      <c r="E70" s="9" t="s">
        <v>140</v>
      </c>
      <c r="F70" s="9" t="s">
        <v>171</v>
      </c>
      <c r="H70" t="str">
        <f>"INSERT INTO ref_unit_pbj (kode_unit, nama_unit, kode_pbj, nama_pbj) VALUES('"&amp;E70&amp;"', '"&amp;F70&amp;"', '"&amp;E70&amp;"', '"&amp;F70&amp;"');"</f>
        <v>INSERT INTO ref_unit_pbj (kode_unit, nama_unit, kode_pbj, nama_pbj) VALUES('UN31', 'Universitas Terbuka (Rektor)', 'UN31', 'Universitas Terbuka (Rektor)');</v>
      </c>
    </row>
    <row r="71" spans="2:8" x14ac:dyDescent="0.3">
      <c r="B71" s="2" t="s">
        <v>141</v>
      </c>
      <c r="E71" s="9" t="s">
        <v>141</v>
      </c>
      <c r="F71" s="9" t="s">
        <v>172</v>
      </c>
      <c r="H71" s="12" t="str">
        <f t="shared" ref="H71:H85" si="2">"INSERT INTO ref_unit_pbj (kode_unit, nama_unit, kode_pbj, nama_pbj) VALUES('"&amp;E71&amp;"', '"&amp;F71&amp;"', '"&amp;E71&amp;"', '"&amp;F71&amp;"');"</f>
        <v>INSERT INTO ref_unit_pbj (kode_unit, nama_unit, kode_pbj, nama_pbj) VALUES('UN31.WR1', 'Bidang Akademik dan Kemahasiswaan', 'UN31.WR1', 'Bidang Akademik dan Kemahasiswaan');</v>
      </c>
    </row>
    <row r="72" spans="2:8" x14ac:dyDescent="0.3">
      <c r="B72" s="2" t="s">
        <v>142</v>
      </c>
      <c r="E72" s="9" t="s">
        <v>142</v>
      </c>
      <c r="F72" s="9" t="s">
        <v>173</v>
      </c>
      <c r="H72" s="12" t="str">
        <f t="shared" si="2"/>
        <v>INSERT INTO ref_unit_pbj (kode_unit, nama_unit, kode_pbj, nama_pbj) VALUES('UN31.WR2', 'Bidang Keuangan, Sumber Daya dan Umum', 'UN31.WR2', 'Bidang Keuangan, Sumber Daya dan Umum');</v>
      </c>
    </row>
    <row r="73" spans="2:8" x14ac:dyDescent="0.3">
      <c r="B73" s="2" t="s">
        <v>143</v>
      </c>
      <c r="E73" s="9" t="s">
        <v>143</v>
      </c>
      <c r="F73" s="9" t="s">
        <v>174</v>
      </c>
      <c r="H73" s="12" t="str">
        <f t="shared" si="2"/>
        <v>INSERT INTO ref_unit_pbj (kode_unit, nama_unit, kode_pbj, nama_pbj) VALUES('UN31.WR3', 'Bidang Sistem Informasi, Layanan Jarak Jauh, dan Alumni', 'UN31.WR3', 'Bidang Sistem Informasi, Layanan Jarak Jauh, dan Alumni');</v>
      </c>
    </row>
    <row r="74" spans="2:8" x14ac:dyDescent="0.3">
      <c r="B74" s="2" t="s">
        <v>144</v>
      </c>
      <c r="E74" s="9" t="s">
        <v>144</v>
      </c>
      <c r="F74" s="9" t="s">
        <v>175</v>
      </c>
      <c r="H74" s="12" t="str">
        <f t="shared" si="2"/>
        <v>INSERT INTO ref_unit_pbj (kode_unit, nama_unit, kode_pbj, nama_pbj) VALUES('UN31.WR4', 'Bidang Riset, Kerja Sama, dan Bisnis', 'UN31.WR4', 'Bidang Riset, Kerja Sama, dan Bisnis');</v>
      </c>
    </row>
    <row r="75" spans="2:8" x14ac:dyDescent="0.3">
      <c r="B75" s="2" t="s">
        <v>20</v>
      </c>
      <c r="E75" s="8" t="s">
        <v>20</v>
      </c>
      <c r="H75" s="12"/>
    </row>
    <row r="76" spans="2:8" x14ac:dyDescent="0.3">
      <c r="B76" s="2" t="s">
        <v>18</v>
      </c>
      <c r="E76" s="8" t="s">
        <v>18</v>
      </c>
      <c r="H76" s="12"/>
    </row>
    <row r="77" spans="2:8" x14ac:dyDescent="0.3">
      <c r="B77" s="2" t="s">
        <v>122</v>
      </c>
      <c r="E77" s="8" t="s">
        <v>122</v>
      </c>
      <c r="H77" s="12"/>
    </row>
    <row r="78" spans="2:8" x14ac:dyDescent="0.3">
      <c r="B78" s="2" t="s">
        <v>118</v>
      </c>
      <c r="E78" s="8" t="s">
        <v>118</v>
      </c>
      <c r="H78" s="12"/>
    </row>
    <row r="79" spans="2:8" x14ac:dyDescent="0.3">
      <c r="B79" s="2" t="s">
        <v>120</v>
      </c>
      <c r="E79" s="8" t="s">
        <v>120</v>
      </c>
      <c r="H79" s="12"/>
    </row>
    <row r="80" spans="2:8" x14ac:dyDescent="0.3">
      <c r="B80" s="2" t="s">
        <v>126</v>
      </c>
      <c r="E80" s="8" t="s">
        <v>126</v>
      </c>
      <c r="H80" s="12"/>
    </row>
    <row r="81" spans="2:8" x14ac:dyDescent="0.3">
      <c r="B81" s="2" t="s">
        <v>138</v>
      </c>
      <c r="E81" s="8" t="s">
        <v>138</v>
      </c>
      <c r="H81" s="12"/>
    </row>
    <row r="82" spans="2:8" x14ac:dyDescent="0.3">
      <c r="B82" s="2" t="s">
        <v>145</v>
      </c>
      <c r="E82" s="10" t="s">
        <v>145</v>
      </c>
      <c r="F82" s="10" t="s">
        <v>176</v>
      </c>
      <c r="H82" s="12" t="str">
        <f t="shared" si="2"/>
        <v>INSERT INTO ref_unit_pbj (kode_unit, nama_unit, kode_pbj, nama_pbj) VALUES('UN31.LPPM1', 'Pusat Penelitian Keilmuan', 'UN31.LPPM1', 'Pusat Penelitian Keilmuan');</v>
      </c>
    </row>
    <row r="83" spans="2:8" x14ac:dyDescent="0.3">
      <c r="B83" s="2" t="s">
        <v>146</v>
      </c>
      <c r="E83" s="10" t="s">
        <v>146</v>
      </c>
      <c r="F83" s="10" t="s">
        <v>177</v>
      </c>
      <c r="H83" s="12" t="str">
        <f t="shared" si="2"/>
        <v>INSERT INTO ref_unit_pbj (kode_unit, nama_unit, kode_pbj, nama_pbj) VALUES('UN31.LPPM2', 'Pusat Pengabdian Kepada Masyarakat', 'UN31.LPPM2', 'Pusat Pengabdian Kepada Masyarakat');</v>
      </c>
    </row>
    <row r="84" spans="2:8" x14ac:dyDescent="0.3">
      <c r="B84" s="2" t="s">
        <v>147</v>
      </c>
      <c r="E84" s="10" t="s">
        <v>147</v>
      </c>
      <c r="F84" s="10" t="s">
        <v>178</v>
      </c>
      <c r="H84" s="12" t="str">
        <f t="shared" si="2"/>
        <v>INSERT INTO ref_unit_pbj (kode_unit, nama_unit, kode_pbj, nama_pbj) VALUES('UN31.LPPM3', 'Pusat Riset dan Inovasi Pendidikan Jarak Jauh', 'UN31.LPPM3', 'Pusat Riset dan Inovasi Pendidikan Jarak Jauh');</v>
      </c>
    </row>
    <row r="85" spans="2:8" x14ac:dyDescent="0.3">
      <c r="B85" s="2" t="s">
        <v>148</v>
      </c>
      <c r="E85" s="10" t="s">
        <v>148</v>
      </c>
      <c r="F85" s="10" t="s">
        <v>179</v>
      </c>
      <c r="H85" s="12" t="str">
        <f t="shared" si="2"/>
        <v>INSERT INTO ref_unit_pbj (kode_unit, nama_unit, kode_pbj, nama_pbj) VALUES('UN31.LPPJJ', 'Lembaga Pendukung Pembelajaran Jarak Jauh', 'UN31.LPPJJ', 'Lembaga Pendukung Pembelajaran Jarak Jauh');</v>
      </c>
    </row>
    <row r="86" spans="2:8" x14ac:dyDescent="0.3">
      <c r="B86" s="2" t="s">
        <v>149</v>
      </c>
      <c r="E86" s="8" t="s">
        <v>149</v>
      </c>
      <c r="H86" s="12"/>
    </row>
    <row r="87" spans="2:8" x14ac:dyDescent="0.3">
      <c r="B87" s="2" t="s">
        <v>150</v>
      </c>
      <c r="E87" s="8" t="s">
        <v>150</v>
      </c>
      <c r="H87" s="12"/>
    </row>
    <row r="88" spans="2:8" x14ac:dyDescent="0.3">
      <c r="B88" s="2" t="s">
        <v>151</v>
      </c>
      <c r="E88" s="8" t="s">
        <v>151</v>
      </c>
      <c r="H88" s="12"/>
    </row>
    <row r="89" spans="2:8" x14ac:dyDescent="0.3">
      <c r="B89" s="2" t="s">
        <v>152</v>
      </c>
      <c r="E89" s="8" t="s">
        <v>152</v>
      </c>
      <c r="H89" s="12"/>
    </row>
    <row r="90" spans="2:8" x14ac:dyDescent="0.3">
      <c r="B90" s="2" t="s">
        <v>130</v>
      </c>
      <c r="E90" s="8" t="s">
        <v>130</v>
      </c>
      <c r="H90" s="12"/>
    </row>
    <row r="91" spans="2:8" x14ac:dyDescent="0.3">
      <c r="B91" s="2" t="s">
        <v>128</v>
      </c>
      <c r="E91" s="8" t="s">
        <v>128</v>
      </c>
      <c r="H91" s="12"/>
    </row>
    <row r="92" spans="2:8" x14ac:dyDescent="0.3">
      <c r="B92" s="2" t="s">
        <v>104</v>
      </c>
      <c r="E92" s="8" t="s">
        <v>104</v>
      </c>
      <c r="H92" s="12"/>
    </row>
    <row r="93" spans="2:8" x14ac:dyDescent="0.3">
      <c r="B93" s="2" t="s">
        <v>26</v>
      </c>
      <c r="E93" s="8" t="s">
        <v>26</v>
      </c>
      <c r="H93" s="12"/>
    </row>
    <row r="94" spans="2:8" x14ac:dyDescent="0.3">
      <c r="B94" s="2" t="s">
        <v>28</v>
      </c>
      <c r="E94" s="8" t="s">
        <v>28</v>
      </c>
      <c r="H94" s="12"/>
    </row>
    <row r="95" spans="2:8" x14ac:dyDescent="0.3">
      <c r="B95" s="2" t="s">
        <v>30</v>
      </c>
      <c r="E95" s="8" t="s">
        <v>30</v>
      </c>
      <c r="H95" s="12"/>
    </row>
    <row r="96" spans="2:8" x14ac:dyDescent="0.3">
      <c r="B96" s="2" t="s">
        <v>32</v>
      </c>
      <c r="E96" s="8" t="s">
        <v>32</v>
      </c>
      <c r="H96" s="12"/>
    </row>
    <row r="97" spans="2:8" x14ac:dyDescent="0.3">
      <c r="B97" s="2" t="s">
        <v>34</v>
      </c>
      <c r="E97" s="8" t="s">
        <v>34</v>
      </c>
      <c r="H97" s="12"/>
    </row>
    <row r="98" spans="2:8" x14ac:dyDescent="0.3">
      <c r="B98" s="2" t="s">
        <v>36</v>
      </c>
      <c r="E98" s="8" t="s">
        <v>36</v>
      </c>
      <c r="H98" s="12"/>
    </row>
    <row r="99" spans="2:8" x14ac:dyDescent="0.3">
      <c r="B99" s="2" t="s">
        <v>38</v>
      </c>
      <c r="E99" s="8" t="s">
        <v>38</v>
      </c>
      <c r="H99" s="12"/>
    </row>
    <row r="100" spans="2:8" x14ac:dyDescent="0.3">
      <c r="B100" s="2" t="s">
        <v>40</v>
      </c>
      <c r="E100" s="8" t="s">
        <v>40</v>
      </c>
      <c r="H100" s="12"/>
    </row>
    <row r="101" spans="2:8" x14ac:dyDescent="0.3">
      <c r="B101" s="2" t="s">
        <v>42</v>
      </c>
      <c r="E101" s="8" t="s">
        <v>42</v>
      </c>
      <c r="H101" s="12"/>
    </row>
    <row r="102" spans="2:8" x14ac:dyDescent="0.3">
      <c r="B102" s="2" t="s">
        <v>44</v>
      </c>
      <c r="E102" s="8" t="s">
        <v>44</v>
      </c>
      <c r="H102" s="12"/>
    </row>
    <row r="103" spans="2:8" x14ac:dyDescent="0.3">
      <c r="B103" s="2" t="s">
        <v>46</v>
      </c>
      <c r="E103" s="8" t="s">
        <v>46</v>
      </c>
      <c r="H103" s="12"/>
    </row>
    <row r="104" spans="2:8" x14ac:dyDescent="0.3">
      <c r="B104" s="2" t="s">
        <v>48</v>
      </c>
      <c r="E104" s="8" t="s">
        <v>48</v>
      </c>
      <c r="H104" s="12"/>
    </row>
    <row r="105" spans="2:8" x14ac:dyDescent="0.3">
      <c r="B105" s="2" t="s">
        <v>50</v>
      </c>
      <c r="E105" s="8" t="s">
        <v>50</v>
      </c>
      <c r="H105" s="12"/>
    </row>
    <row r="106" spans="2:8" x14ac:dyDescent="0.3">
      <c r="B106" s="2" t="s">
        <v>52</v>
      </c>
      <c r="E106" s="8" t="s">
        <v>52</v>
      </c>
      <c r="H106" s="12"/>
    </row>
    <row r="107" spans="2:8" x14ac:dyDescent="0.3">
      <c r="B107" s="2" t="s">
        <v>54</v>
      </c>
      <c r="E107" s="8" t="s">
        <v>54</v>
      </c>
      <c r="H107" s="12"/>
    </row>
    <row r="108" spans="2:8" x14ac:dyDescent="0.3">
      <c r="B108" s="2" t="s">
        <v>56</v>
      </c>
      <c r="E108" s="8" t="s">
        <v>56</v>
      </c>
      <c r="H108" s="12"/>
    </row>
    <row r="109" spans="2:8" x14ac:dyDescent="0.3">
      <c r="B109" s="2" t="s">
        <v>58</v>
      </c>
      <c r="E109" s="8" t="s">
        <v>58</v>
      </c>
      <c r="H109" s="12"/>
    </row>
    <row r="110" spans="2:8" x14ac:dyDescent="0.3">
      <c r="B110" s="2" t="s">
        <v>60</v>
      </c>
      <c r="E110" s="8" t="s">
        <v>60</v>
      </c>
      <c r="H110" s="12"/>
    </row>
    <row r="111" spans="2:8" x14ac:dyDescent="0.3">
      <c r="B111" s="2" t="s">
        <v>62</v>
      </c>
      <c r="E111" s="8" t="s">
        <v>62</v>
      </c>
      <c r="H111" s="12"/>
    </row>
    <row r="112" spans="2:8" x14ac:dyDescent="0.3">
      <c r="B112" s="2" t="s">
        <v>64</v>
      </c>
      <c r="E112" s="8" t="s">
        <v>64</v>
      </c>
      <c r="H112" s="12"/>
    </row>
    <row r="113" spans="2:8" x14ac:dyDescent="0.3">
      <c r="B113" s="2" t="s">
        <v>66</v>
      </c>
      <c r="E113" s="8" t="s">
        <v>66</v>
      </c>
      <c r="H113" s="12"/>
    </row>
    <row r="114" spans="2:8" x14ac:dyDescent="0.3">
      <c r="B114" s="2" t="s">
        <v>68</v>
      </c>
      <c r="E114" s="8" t="s">
        <v>68</v>
      </c>
      <c r="H114" s="12"/>
    </row>
    <row r="115" spans="2:8" x14ac:dyDescent="0.3">
      <c r="B115" s="2" t="s">
        <v>70</v>
      </c>
      <c r="E115" s="8" t="s">
        <v>70</v>
      </c>
      <c r="H115" s="12"/>
    </row>
    <row r="116" spans="2:8" x14ac:dyDescent="0.3">
      <c r="B116" s="2" t="s">
        <v>72</v>
      </c>
      <c r="E116" s="8" t="s">
        <v>72</v>
      </c>
      <c r="H116" s="12"/>
    </row>
    <row r="117" spans="2:8" x14ac:dyDescent="0.3">
      <c r="B117" s="2" t="s">
        <v>74</v>
      </c>
      <c r="E117" s="8" t="s">
        <v>74</v>
      </c>
      <c r="H117" s="12"/>
    </row>
    <row r="118" spans="2:8" x14ac:dyDescent="0.3">
      <c r="B118" s="2" t="s">
        <v>76</v>
      </c>
      <c r="E118" s="8" t="s">
        <v>76</v>
      </c>
      <c r="H118" s="12"/>
    </row>
    <row r="119" spans="2:8" x14ac:dyDescent="0.3">
      <c r="B119" s="2" t="s">
        <v>78</v>
      </c>
      <c r="E119" s="8" t="s">
        <v>78</v>
      </c>
      <c r="H119" s="12"/>
    </row>
    <row r="120" spans="2:8" x14ac:dyDescent="0.3">
      <c r="B120" s="2" t="s">
        <v>80</v>
      </c>
      <c r="E120" s="8" t="s">
        <v>80</v>
      </c>
      <c r="H120" s="12"/>
    </row>
    <row r="121" spans="2:8" x14ac:dyDescent="0.3">
      <c r="B121" s="2" t="s">
        <v>82</v>
      </c>
      <c r="E121" s="8" t="s">
        <v>82</v>
      </c>
      <c r="H121" s="12"/>
    </row>
    <row r="122" spans="2:8" x14ac:dyDescent="0.3">
      <c r="B122" s="2" t="s">
        <v>84</v>
      </c>
      <c r="E122" s="8" t="s">
        <v>84</v>
      </c>
      <c r="H122" s="12"/>
    </row>
    <row r="123" spans="2:8" x14ac:dyDescent="0.3">
      <c r="B123" s="2" t="s">
        <v>86</v>
      </c>
      <c r="E123" s="8" t="s">
        <v>86</v>
      </c>
      <c r="H123" s="12"/>
    </row>
    <row r="124" spans="2:8" x14ac:dyDescent="0.3">
      <c r="B124" s="2" t="s">
        <v>88</v>
      </c>
      <c r="E124" s="8" t="s">
        <v>88</v>
      </c>
      <c r="H124" s="12"/>
    </row>
    <row r="125" spans="2:8" x14ac:dyDescent="0.3">
      <c r="B125" s="2" t="s">
        <v>90</v>
      </c>
      <c r="E125" s="8" t="s">
        <v>90</v>
      </c>
      <c r="H125" s="12"/>
    </row>
    <row r="126" spans="2:8" x14ac:dyDescent="0.3">
      <c r="B126" s="2" t="s">
        <v>92</v>
      </c>
      <c r="E126" s="8" t="s">
        <v>92</v>
      </c>
      <c r="H126" s="12"/>
    </row>
    <row r="127" spans="2:8" x14ac:dyDescent="0.3">
      <c r="B127" s="2" t="s">
        <v>94</v>
      </c>
      <c r="E127" s="8" t="s">
        <v>94</v>
      </c>
      <c r="H127" s="12"/>
    </row>
    <row r="128" spans="2:8" x14ac:dyDescent="0.3">
      <c r="B128" s="2" t="s">
        <v>96</v>
      </c>
      <c r="E128" s="8" t="s">
        <v>96</v>
      </c>
      <c r="H128" s="12"/>
    </row>
    <row r="129" spans="2:8" x14ac:dyDescent="0.3">
      <c r="B129" s="2" t="s">
        <v>98</v>
      </c>
      <c r="E129" s="8" t="s">
        <v>98</v>
      </c>
      <c r="H129" s="12"/>
    </row>
    <row r="130" spans="2:8" x14ac:dyDescent="0.3">
      <c r="B130" s="2" t="s">
        <v>100</v>
      </c>
      <c r="E130" s="8" t="s">
        <v>100</v>
      </c>
      <c r="H130" s="12"/>
    </row>
    <row r="131" spans="2:8" x14ac:dyDescent="0.3">
      <c r="B131" s="2" t="s">
        <v>102</v>
      </c>
      <c r="E131" s="8" t="s">
        <v>102</v>
      </c>
      <c r="H131" s="12"/>
    </row>
    <row r="132" spans="2:8" x14ac:dyDescent="0.3">
      <c r="B132" s="2" t="s">
        <v>153</v>
      </c>
      <c r="E132" s="8" t="s">
        <v>153</v>
      </c>
      <c r="H132" s="12"/>
    </row>
    <row r="133" spans="2:8" x14ac:dyDescent="0.3">
      <c r="B133" s="2" t="s">
        <v>154</v>
      </c>
      <c r="E133" s="8" t="s">
        <v>154</v>
      </c>
      <c r="H133" s="12"/>
    </row>
    <row r="134" spans="2:8" x14ac:dyDescent="0.3">
      <c r="B134" s="2" t="s">
        <v>24</v>
      </c>
      <c r="E134" s="8" t="s">
        <v>24</v>
      </c>
      <c r="H134" s="12"/>
    </row>
    <row r="135" spans="2:8" x14ac:dyDescent="0.3">
      <c r="B135" s="2" t="s">
        <v>136</v>
      </c>
      <c r="E135" s="8" t="s">
        <v>136</v>
      </c>
      <c r="H135" s="12"/>
    </row>
    <row r="136" spans="2:8" x14ac:dyDescent="0.3">
      <c r="B136" s="2" t="s">
        <v>134</v>
      </c>
      <c r="E136" s="8" t="s">
        <v>134</v>
      </c>
      <c r="H136" s="12"/>
    </row>
    <row r="137" spans="2:8" x14ac:dyDescent="0.3">
      <c r="B137" s="2" t="s">
        <v>22</v>
      </c>
      <c r="E137" s="8" t="s">
        <v>22</v>
      </c>
      <c r="H137" s="12"/>
    </row>
    <row r="138" spans="2:8" x14ac:dyDescent="0.3">
      <c r="B138" s="2" t="s">
        <v>155</v>
      </c>
      <c r="E138" s="11" t="s">
        <v>155</v>
      </c>
      <c r="F138" s="11" t="s">
        <v>180</v>
      </c>
      <c r="H138" s="12" t="str">
        <f t="shared" ref="H138:H148" si="3">"INSERT INTO ref_unit_pbj (kode_unit, nama_unit, kode_pbj, nama_pbj) VALUES('"&amp;E138&amp;"', '"&amp;F138&amp;"', '"&amp;E138&amp;"', '"&amp;F138&amp;"');"</f>
        <v>INSERT INTO ref_unit_pbj (kode_unit, nama_unit, kode_pbj, nama_pbj) VALUES('UN31.SVOK', 'Sekolah Vokasi', 'UN31.SVOK', 'Sekolah Vokasi');</v>
      </c>
    </row>
    <row r="139" spans="2:8" x14ac:dyDescent="0.3">
      <c r="B139" s="2" t="s">
        <v>114</v>
      </c>
      <c r="E139" s="8" t="s">
        <v>114</v>
      </c>
      <c r="H139" s="12"/>
    </row>
    <row r="140" spans="2:8" x14ac:dyDescent="0.3">
      <c r="B140" s="2" t="s">
        <v>156</v>
      </c>
      <c r="E140" s="8" t="s">
        <v>156</v>
      </c>
      <c r="H140" s="12"/>
    </row>
    <row r="141" spans="2:8" x14ac:dyDescent="0.3">
      <c r="B141" s="2" t="s">
        <v>0</v>
      </c>
      <c r="E141" s="8" t="s">
        <v>0</v>
      </c>
      <c r="H141" s="12"/>
    </row>
    <row r="142" spans="2:8" x14ac:dyDescent="0.3">
      <c r="B142" s="2" t="s">
        <v>124</v>
      </c>
      <c r="E142" s="8" t="s">
        <v>124</v>
      </c>
      <c r="H142" s="12"/>
    </row>
    <row r="143" spans="2:8" x14ac:dyDescent="0.3">
      <c r="B143" s="2" t="s">
        <v>157</v>
      </c>
      <c r="E143" s="8" t="s">
        <v>157</v>
      </c>
      <c r="H143" s="12"/>
    </row>
    <row r="144" spans="2:8" x14ac:dyDescent="0.3">
      <c r="B144" s="2" t="s">
        <v>158</v>
      </c>
      <c r="E144" s="8" t="s">
        <v>158</v>
      </c>
      <c r="H144" s="12"/>
    </row>
    <row r="145" spans="2:8" x14ac:dyDescent="0.3">
      <c r="B145" s="2" t="s">
        <v>159</v>
      </c>
      <c r="E145" s="12" t="s">
        <v>159</v>
      </c>
      <c r="F145" s="12" t="s">
        <v>181</v>
      </c>
      <c r="H145" s="12" t="str">
        <f t="shared" si="3"/>
        <v>INSERT INTO ref_unit_pbj (kode_unit, nama_unit, kode_pbj, nama_pbj) VALUES('UN31.KA', 'Komite Audit', 'UN31.KA', 'Komite Audit');</v>
      </c>
    </row>
    <row r="146" spans="2:8" x14ac:dyDescent="0.3">
      <c r="B146" s="2" t="s">
        <v>160</v>
      </c>
      <c r="E146" s="12" t="s">
        <v>160</v>
      </c>
      <c r="F146" s="12" t="s">
        <v>182</v>
      </c>
      <c r="H146" s="12" t="str">
        <f t="shared" si="3"/>
        <v>INSERT INTO ref_unit_pbj (kode_unit, nama_unit, kode_pbj, nama_pbj) VALUES('UN31.LAB', 'Unit Laboratorium Terpadu Universitas', 'UN31.LAB', 'Unit Laboratorium Terpadu Universitas');</v>
      </c>
    </row>
    <row r="147" spans="2:8" x14ac:dyDescent="0.3">
      <c r="B147" s="2" t="s">
        <v>161</v>
      </c>
      <c r="E147" s="12" t="s">
        <v>161</v>
      </c>
      <c r="F147" s="12" t="s">
        <v>183</v>
      </c>
      <c r="H147" s="12" t="str">
        <f t="shared" si="3"/>
        <v>INSERT INTO ref_unit_pbj (kode_unit, nama_unit, kode_pbj, nama_pbj) VALUES('UN31.UPASP', 'Unit Pemberdayaan Alumni, Sentra Karier, dan Penempatan Kerja', 'UN31.UPASP', 'Unit Pemberdayaan Alumni, Sentra Karier, dan Penempatan Kerja');</v>
      </c>
    </row>
    <row r="148" spans="2:8" x14ac:dyDescent="0.3">
      <c r="B148" s="2" t="s">
        <v>162</v>
      </c>
      <c r="E148" s="12" t="s">
        <v>162</v>
      </c>
      <c r="F148" s="12" t="s">
        <v>184</v>
      </c>
      <c r="H148" s="12" t="str">
        <f t="shared" si="3"/>
        <v>INSERT INTO ref_unit_pbj (kode_unit, nama_unit, kode_pbj, nama_pbj) VALUES('UN31.PMO', 'Project Management Office', 'UN31.PMO', 'Project Management Office');</v>
      </c>
    </row>
  </sheetData>
  <conditionalFormatting sqref="B1:B66 B68:B1048576">
    <cfRule type="duplicateValues" dxfId="45" priority="7"/>
  </conditionalFormatting>
  <conditionalFormatting sqref="E39:E52">
    <cfRule type="duplicateValues" dxfId="44" priority="6"/>
  </conditionalFormatting>
  <conditionalFormatting sqref="E54:E56">
    <cfRule type="duplicateValues" dxfId="43" priority="5"/>
  </conditionalFormatting>
  <conditionalFormatting sqref="E70:E148">
    <cfRule type="duplicateValues" dxfId="42" priority="4"/>
  </conditionalFormatting>
  <conditionalFormatting sqref="E1:E66 E68:E1048576">
    <cfRule type="duplicateValues" dxfId="41" priority="3"/>
  </conditionalFormatting>
  <conditionalFormatting sqref="B1:B1048576">
    <cfRule type="duplicateValues" dxfId="40" priority="2"/>
  </conditionalFormatting>
  <conditionalFormatting sqref="E1:E1048576">
    <cfRule type="duplicateValues" dxfId="3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9A6B-20D6-49D3-BB2A-F0821FA2864F}">
  <dimension ref="C2:E154"/>
  <sheetViews>
    <sheetView topLeftCell="A58" workbookViewId="0">
      <selection activeCell="E75" sqref="E75:E154"/>
    </sheetView>
  </sheetViews>
  <sheetFormatPr defaultRowHeight="14.4" x14ac:dyDescent="0.3"/>
  <cols>
    <col min="3" max="3" width="19" customWidth="1"/>
    <col min="4" max="4" width="54.21875" bestFit="1" customWidth="1"/>
  </cols>
  <sheetData>
    <row r="2" spans="3:3" x14ac:dyDescent="0.3">
      <c r="C2" t="s">
        <v>0</v>
      </c>
    </row>
    <row r="3" spans="3:3" x14ac:dyDescent="0.3">
      <c r="C3" t="s">
        <v>0</v>
      </c>
    </row>
    <row r="4" spans="3:3" x14ac:dyDescent="0.3">
      <c r="C4" t="s">
        <v>0</v>
      </c>
    </row>
    <row r="5" spans="3:3" x14ac:dyDescent="0.3">
      <c r="C5" t="s">
        <v>6</v>
      </c>
    </row>
    <row r="6" spans="3:3" x14ac:dyDescent="0.3">
      <c r="C6" t="s">
        <v>0</v>
      </c>
    </row>
    <row r="7" spans="3:3" x14ac:dyDescent="0.3">
      <c r="C7" t="s">
        <v>0</v>
      </c>
    </row>
    <row r="8" spans="3:3" x14ac:dyDescent="0.3">
      <c r="C8" t="s">
        <v>0</v>
      </c>
    </row>
    <row r="9" spans="3:3" x14ac:dyDescent="0.3">
      <c r="C9" t="s">
        <v>14</v>
      </c>
    </row>
    <row r="10" spans="3:3" x14ac:dyDescent="0.3">
      <c r="C10" t="s">
        <v>16</v>
      </c>
    </row>
    <row r="11" spans="3:3" x14ac:dyDescent="0.3">
      <c r="C11" t="s">
        <v>18</v>
      </c>
    </row>
    <row r="12" spans="3:3" x14ac:dyDescent="0.3">
      <c r="C12" t="s">
        <v>20</v>
      </c>
    </row>
    <row r="13" spans="3:3" x14ac:dyDescent="0.3">
      <c r="C13" t="s">
        <v>22</v>
      </c>
    </row>
    <row r="14" spans="3:3" x14ac:dyDescent="0.3">
      <c r="C14" t="s">
        <v>24</v>
      </c>
    </row>
    <row r="15" spans="3:3" x14ac:dyDescent="0.3">
      <c r="C15" t="s">
        <v>26</v>
      </c>
    </row>
    <row r="16" spans="3:3" x14ac:dyDescent="0.3">
      <c r="C16" t="s">
        <v>28</v>
      </c>
    </row>
    <row r="17" spans="3:3" x14ac:dyDescent="0.3">
      <c r="C17" t="s">
        <v>30</v>
      </c>
    </row>
    <row r="18" spans="3:3" x14ac:dyDescent="0.3">
      <c r="C18" t="s">
        <v>32</v>
      </c>
    </row>
    <row r="19" spans="3:3" x14ac:dyDescent="0.3">
      <c r="C19" t="s">
        <v>34</v>
      </c>
    </row>
    <row r="20" spans="3:3" x14ac:dyDescent="0.3">
      <c r="C20" t="s">
        <v>36</v>
      </c>
    </row>
    <row r="21" spans="3:3" x14ac:dyDescent="0.3">
      <c r="C21" t="s">
        <v>38</v>
      </c>
    </row>
    <row r="22" spans="3:3" x14ac:dyDescent="0.3">
      <c r="C22" t="s">
        <v>40</v>
      </c>
    </row>
    <row r="23" spans="3:3" x14ac:dyDescent="0.3">
      <c r="C23" t="s">
        <v>42</v>
      </c>
    </row>
    <row r="24" spans="3:3" x14ac:dyDescent="0.3">
      <c r="C24" t="s">
        <v>44</v>
      </c>
    </row>
    <row r="25" spans="3:3" x14ac:dyDescent="0.3">
      <c r="C25" t="s">
        <v>46</v>
      </c>
    </row>
    <row r="26" spans="3:3" x14ac:dyDescent="0.3">
      <c r="C26" t="s">
        <v>48</v>
      </c>
    </row>
    <row r="27" spans="3:3" x14ac:dyDescent="0.3">
      <c r="C27" t="s">
        <v>50</v>
      </c>
    </row>
    <row r="28" spans="3:3" x14ac:dyDescent="0.3">
      <c r="C28" t="s">
        <v>52</v>
      </c>
    </row>
    <row r="29" spans="3:3" x14ac:dyDescent="0.3">
      <c r="C29" t="s">
        <v>54</v>
      </c>
    </row>
    <row r="30" spans="3:3" x14ac:dyDescent="0.3">
      <c r="C30" t="s">
        <v>56</v>
      </c>
    </row>
    <row r="31" spans="3:3" x14ac:dyDescent="0.3">
      <c r="C31" t="s">
        <v>58</v>
      </c>
    </row>
    <row r="32" spans="3:3" x14ac:dyDescent="0.3">
      <c r="C32" t="s">
        <v>60</v>
      </c>
    </row>
    <row r="33" spans="3:3" x14ac:dyDescent="0.3">
      <c r="C33" t="s">
        <v>62</v>
      </c>
    </row>
    <row r="34" spans="3:3" x14ac:dyDescent="0.3">
      <c r="C34" t="s">
        <v>64</v>
      </c>
    </row>
    <row r="35" spans="3:3" x14ac:dyDescent="0.3">
      <c r="C35" t="s">
        <v>66</v>
      </c>
    </row>
    <row r="36" spans="3:3" x14ac:dyDescent="0.3">
      <c r="C36" t="s">
        <v>68</v>
      </c>
    </row>
    <row r="37" spans="3:3" x14ac:dyDescent="0.3">
      <c r="C37" t="s">
        <v>70</v>
      </c>
    </row>
    <row r="38" spans="3:3" x14ac:dyDescent="0.3">
      <c r="C38" t="s">
        <v>72</v>
      </c>
    </row>
    <row r="39" spans="3:3" x14ac:dyDescent="0.3">
      <c r="C39" t="s">
        <v>74</v>
      </c>
    </row>
    <row r="40" spans="3:3" x14ac:dyDescent="0.3">
      <c r="C40" t="s">
        <v>76</v>
      </c>
    </row>
    <row r="41" spans="3:3" x14ac:dyDescent="0.3">
      <c r="C41" t="s">
        <v>78</v>
      </c>
    </row>
    <row r="42" spans="3:3" x14ac:dyDescent="0.3">
      <c r="C42" t="s">
        <v>80</v>
      </c>
    </row>
    <row r="43" spans="3:3" x14ac:dyDescent="0.3">
      <c r="C43" t="s">
        <v>82</v>
      </c>
    </row>
    <row r="44" spans="3:3" x14ac:dyDescent="0.3">
      <c r="C44" t="s">
        <v>84</v>
      </c>
    </row>
    <row r="45" spans="3:3" x14ac:dyDescent="0.3">
      <c r="C45" t="s">
        <v>86</v>
      </c>
    </row>
    <row r="46" spans="3:3" x14ac:dyDescent="0.3">
      <c r="C46" t="s">
        <v>88</v>
      </c>
    </row>
    <row r="47" spans="3:3" x14ac:dyDescent="0.3">
      <c r="C47" t="s">
        <v>90</v>
      </c>
    </row>
    <row r="48" spans="3:3" x14ac:dyDescent="0.3">
      <c r="C48" t="s">
        <v>92</v>
      </c>
    </row>
    <row r="49" spans="3:3" x14ac:dyDescent="0.3">
      <c r="C49" t="s">
        <v>94</v>
      </c>
    </row>
    <row r="50" spans="3:3" x14ac:dyDescent="0.3">
      <c r="C50" t="s">
        <v>96</v>
      </c>
    </row>
    <row r="51" spans="3:3" x14ac:dyDescent="0.3">
      <c r="C51" t="s">
        <v>98</v>
      </c>
    </row>
    <row r="52" spans="3:3" x14ac:dyDescent="0.3">
      <c r="C52" t="s">
        <v>100</v>
      </c>
    </row>
    <row r="53" spans="3:3" x14ac:dyDescent="0.3">
      <c r="C53" t="s">
        <v>102</v>
      </c>
    </row>
    <row r="54" spans="3:3" x14ac:dyDescent="0.3">
      <c r="C54" t="s">
        <v>104</v>
      </c>
    </row>
    <row r="55" spans="3:3" x14ac:dyDescent="0.3">
      <c r="C55" t="s">
        <v>106</v>
      </c>
    </row>
    <row r="56" spans="3:3" x14ac:dyDescent="0.3">
      <c r="C56" t="s">
        <v>108</v>
      </c>
    </row>
    <row r="57" spans="3:3" x14ac:dyDescent="0.3">
      <c r="C57" t="s">
        <v>110</v>
      </c>
    </row>
    <row r="58" spans="3:3" x14ac:dyDescent="0.3">
      <c r="C58" t="s">
        <v>112</v>
      </c>
    </row>
    <row r="59" spans="3:3" x14ac:dyDescent="0.3">
      <c r="C59" t="s">
        <v>114</v>
      </c>
    </row>
    <row r="60" spans="3:3" x14ac:dyDescent="0.3">
      <c r="C60" t="s">
        <v>116</v>
      </c>
    </row>
    <row r="61" spans="3:3" x14ac:dyDescent="0.3">
      <c r="C61" t="s">
        <v>118</v>
      </c>
    </row>
    <row r="62" spans="3:3" x14ac:dyDescent="0.3">
      <c r="C62" t="s">
        <v>120</v>
      </c>
    </row>
    <row r="63" spans="3:3" x14ac:dyDescent="0.3">
      <c r="C63" t="s">
        <v>122</v>
      </c>
    </row>
    <row r="64" spans="3:3" x14ac:dyDescent="0.3">
      <c r="C64" t="s">
        <v>124</v>
      </c>
    </row>
    <row r="65" spans="3:5" x14ac:dyDescent="0.3">
      <c r="C65" t="s">
        <v>126</v>
      </c>
    </row>
    <row r="66" spans="3:5" x14ac:dyDescent="0.3">
      <c r="C66" t="s">
        <v>128</v>
      </c>
    </row>
    <row r="67" spans="3:5" x14ac:dyDescent="0.3">
      <c r="C67" t="s">
        <v>130</v>
      </c>
    </row>
    <row r="68" spans="3:5" x14ac:dyDescent="0.3">
      <c r="C68" t="s">
        <v>197</v>
      </c>
    </row>
    <row r="69" spans="3:5" x14ac:dyDescent="0.3">
      <c r="C69" t="s">
        <v>134</v>
      </c>
    </row>
    <row r="70" spans="3:5" x14ac:dyDescent="0.3">
      <c r="C70" t="s">
        <v>136</v>
      </c>
    </row>
    <row r="71" spans="3:5" x14ac:dyDescent="0.3">
      <c r="C71" t="s">
        <v>138</v>
      </c>
    </row>
    <row r="75" spans="3:5" x14ac:dyDescent="0.3">
      <c r="C75" t="s">
        <v>140</v>
      </c>
      <c r="D75" s="21" t="s">
        <v>171</v>
      </c>
      <c r="E75" s="21" t="str">
        <f>"INSERT INTO ref_unit_pbj (kode_unit, nama_unit, kode_pbj, nama_pbj) VALUES('"&amp;C75&amp;"', '"&amp;D75&amp;"', '"&amp;C75&amp;"', '"&amp;D75&amp;"');"</f>
        <v>INSERT INTO ref_unit_pbj (kode_unit, nama_unit, kode_pbj, nama_pbj) VALUES('UN31', 'Universitas Terbuka (Rektor)', 'UN31', 'Universitas Terbuka (Rektor)');</v>
      </c>
    </row>
    <row r="76" spans="3:5" x14ac:dyDescent="0.3">
      <c r="C76" t="s">
        <v>141</v>
      </c>
      <c r="D76" s="21" t="s">
        <v>199</v>
      </c>
      <c r="E76" s="21" t="str">
        <f t="shared" ref="E76:E79" si="0">"INSERT INTO ref_unit_pbj (kode_unit, nama_unit, kode_pbj, nama_pbj) VALUES('"&amp;C76&amp;"', '"&amp;D76&amp;"', '"&amp;C76&amp;"', '"&amp;D76&amp;"');"</f>
        <v>INSERT INTO ref_unit_pbj (kode_unit, nama_unit, kode_pbj, nama_pbj) VALUES('UN31.WR1', 'Bidang Akademik', 'UN31.WR1', 'Bidang Akademik');</v>
      </c>
    </row>
    <row r="77" spans="3:5" x14ac:dyDescent="0.3">
      <c r="C77" t="s">
        <v>142</v>
      </c>
      <c r="D77" s="21" t="s">
        <v>200</v>
      </c>
      <c r="E77" s="21" t="str">
        <f t="shared" si="0"/>
        <v>INSERT INTO ref_unit_pbj (kode_unit, nama_unit, kode_pbj, nama_pbj) VALUES('UN31.WR2', 'Bidang Keuangan dan Umum', 'UN31.WR2', 'Bidang Keuangan dan Umum');</v>
      </c>
    </row>
    <row r="78" spans="3:5" x14ac:dyDescent="0.3">
      <c r="C78" t="s">
        <v>143</v>
      </c>
      <c r="D78" s="21" t="s">
        <v>201</v>
      </c>
      <c r="E78" s="21" t="str">
        <f t="shared" si="0"/>
        <v>INSERT INTO ref_unit_pbj (kode_unit, nama_unit, kode_pbj, nama_pbj) VALUES('UN31.WR3', 'Bidang Sistem Informasi dan Kemahasiswaan', 'UN31.WR3', 'Bidang Sistem Informasi dan Kemahasiswaan');</v>
      </c>
    </row>
    <row r="79" spans="3:5" x14ac:dyDescent="0.3">
      <c r="C79" t="s">
        <v>144</v>
      </c>
      <c r="D79" s="21" t="s">
        <v>202</v>
      </c>
      <c r="E79" s="21" t="str">
        <f t="shared" si="0"/>
        <v>INSERT INTO ref_unit_pbj (kode_unit, nama_unit, kode_pbj, nama_pbj) VALUES('UN31.WR4', 'Bidang Riset, Inovasi, Kerja Sama dan Bisnis', 'UN31.WR4', 'Bidang Riset, Inovasi, Kerja Sama dan Bisnis');</v>
      </c>
    </row>
    <row r="80" spans="3:5" x14ac:dyDescent="0.3">
      <c r="C80" t="s">
        <v>20</v>
      </c>
      <c r="D80" s="21" t="s">
        <v>21</v>
      </c>
    </row>
    <row r="81" spans="3:5" x14ac:dyDescent="0.3">
      <c r="C81" t="s">
        <v>18</v>
      </c>
      <c r="D81" s="21" t="s">
        <v>19</v>
      </c>
    </row>
    <row r="82" spans="3:5" x14ac:dyDescent="0.3">
      <c r="C82" t="s">
        <v>122</v>
      </c>
      <c r="D82" s="21" t="s">
        <v>123</v>
      </c>
    </row>
    <row r="83" spans="3:5" x14ac:dyDescent="0.3">
      <c r="C83" t="s">
        <v>118</v>
      </c>
      <c r="D83" s="21" t="s">
        <v>119</v>
      </c>
    </row>
    <row r="84" spans="3:5" x14ac:dyDescent="0.3">
      <c r="C84" t="s">
        <v>120</v>
      </c>
      <c r="D84" s="21" t="s">
        <v>203</v>
      </c>
    </row>
    <row r="85" spans="3:5" x14ac:dyDescent="0.3">
      <c r="C85" t="s">
        <v>126</v>
      </c>
      <c r="D85" s="21" t="s">
        <v>127</v>
      </c>
    </row>
    <row r="86" spans="3:5" x14ac:dyDescent="0.3">
      <c r="C86" t="s">
        <v>138</v>
      </c>
      <c r="D86" s="21" t="s">
        <v>139</v>
      </c>
    </row>
    <row r="87" spans="3:5" x14ac:dyDescent="0.3">
      <c r="C87" t="s">
        <v>145</v>
      </c>
      <c r="D87" s="21" t="s">
        <v>176</v>
      </c>
      <c r="E87" s="21" t="str">
        <f t="shared" ref="E87:E90" si="1">"INSERT INTO ref_unit_pbj (kode_unit, nama_unit, kode_pbj, nama_pbj) VALUES('"&amp;C87&amp;"', '"&amp;D87&amp;"', '"&amp;C87&amp;"', '"&amp;D87&amp;"');"</f>
        <v>INSERT INTO ref_unit_pbj (kode_unit, nama_unit, kode_pbj, nama_pbj) VALUES('UN31.LPPM1', 'Pusat Penelitian Keilmuan', 'UN31.LPPM1', 'Pusat Penelitian Keilmuan');</v>
      </c>
    </row>
    <row r="88" spans="3:5" x14ac:dyDescent="0.3">
      <c r="C88" t="s">
        <v>146</v>
      </c>
      <c r="D88" s="21" t="s">
        <v>178</v>
      </c>
      <c r="E88" s="21" t="str">
        <f t="shared" si="1"/>
        <v>INSERT INTO ref_unit_pbj (kode_unit, nama_unit, kode_pbj, nama_pbj) VALUES('UN31.LPPM2', 'Pusat Riset dan Inovasi Pendidikan Jarak Jauh', 'UN31.LPPM2', 'Pusat Riset dan Inovasi Pendidikan Jarak Jauh');</v>
      </c>
    </row>
    <row r="89" spans="3:5" x14ac:dyDescent="0.3">
      <c r="C89" t="s">
        <v>147</v>
      </c>
      <c r="D89" s="21" t="s">
        <v>177</v>
      </c>
      <c r="E89" s="21" t="str">
        <f t="shared" si="1"/>
        <v>INSERT INTO ref_unit_pbj (kode_unit, nama_unit, kode_pbj, nama_pbj) VALUES('UN31.LPPM3', 'Pusat Pengabdian Kepada Masyarakat', 'UN31.LPPM3', 'Pusat Pengabdian Kepada Masyarakat');</v>
      </c>
    </row>
    <row r="90" spans="3:5" x14ac:dyDescent="0.3">
      <c r="C90" t="s">
        <v>196</v>
      </c>
      <c r="D90" s="21" t="s">
        <v>198</v>
      </c>
      <c r="E90" s="21" t="str">
        <f t="shared" si="1"/>
        <v>INSERT INTO ref_unit_pbj (kode_unit, nama_unit, kode_pbj, nama_pbj) VALUES('UN31.LLOP', 'Lembaga Layanan Operasional Pembelajaran', 'UN31.LLOP', 'Lembaga Layanan Operasional Pembelajaran');</v>
      </c>
    </row>
    <row r="91" spans="3:5" x14ac:dyDescent="0.3">
      <c r="C91" t="s">
        <v>106</v>
      </c>
      <c r="D91" s="21" t="s">
        <v>107</v>
      </c>
    </row>
    <row r="92" spans="3:5" x14ac:dyDescent="0.3">
      <c r="C92" t="s">
        <v>108</v>
      </c>
      <c r="D92" s="21" t="s">
        <v>109</v>
      </c>
    </row>
    <row r="93" spans="3:5" x14ac:dyDescent="0.3">
      <c r="C93" t="s">
        <v>110</v>
      </c>
      <c r="D93" s="21" t="s">
        <v>111</v>
      </c>
    </row>
    <row r="94" spans="3:5" x14ac:dyDescent="0.3">
      <c r="C94" t="s">
        <v>112</v>
      </c>
      <c r="D94" s="21" t="s">
        <v>113</v>
      </c>
    </row>
    <row r="95" spans="3:5" x14ac:dyDescent="0.3">
      <c r="C95" t="s">
        <v>130</v>
      </c>
      <c r="D95" s="21" t="s">
        <v>204</v>
      </c>
    </row>
    <row r="96" spans="3:5" x14ac:dyDescent="0.3">
      <c r="C96" t="s">
        <v>128</v>
      </c>
      <c r="D96" s="21" t="s">
        <v>129</v>
      </c>
    </row>
    <row r="97" spans="3:4" x14ac:dyDescent="0.3">
      <c r="C97" t="s">
        <v>104</v>
      </c>
      <c r="D97" s="21" t="s">
        <v>205</v>
      </c>
    </row>
    <row r="98" spans="3:4" x14ac:dyDescent="0.3">
      <c r="C98" t="s">
        <v>26</v>
      </c>
      <c r="D98" s="21" t="s">
        <v>206</v>
      </c>
    </row>
    <row r="99" spans="3:4" x14ac:dyDescent="0.3">
      <c r="C99" t="s">
        <v>28</v>
      </c>
      <c r="D99" s="21" t="s">
        <v>207</v>
      </c>
    </row>
    <row r="100" spans="3:4" x14ac:dyDescent="0.3">
      <c r="C100" t="s">
        <v>30</v>
      </c>
      <c r="D100" s="21" t="s">
        <v>208</v>
      </c>
    </row>
    <row r="101" spans="3:4" x14ac:dyDescent="0.3">
      <c r="C101" t="s">
        <v>32</v>
      </c>
      <c r="D101" s="21" t="s">
        <v>209</v>
      </c>
    </row>
    <row r="102" spans="3:4" x14ac:dyDescent="0.3">
      <c r="C102" t="s">
        <v>34</v>
      </c>
      <c r="D102" s="21" t="s">
        <v>210</v>
      </c>
    </row>
    <row r="103" spans="3:4" x14ac:dyDescent="0.3">
      <c r="C103" t="s">
        <v>36</v>
      </c>
      <c r="D103" s="21" t="s">
        <v>211</v>
      </c>
    </row>
    <row r="104" spans="3:4" x14ac:dyDescent="0.3">
      <c r="C104" t="s">
        <v>38</v>
      </c>
      <c r="D104" s="21" t="s">
        <v>212</v>
      </c>
    </row>
    <row r="105" spans="3:4" x14ac:dyDescent="0.3">
      <c r="C105" t="s">
        <v>40</v>
      </c>
      <c r="D105" s="21" t="s">
        <v>213</v>
      </c>
    </row>
    <row r="106" spans="3:4" x14ac:dyDescent="0.3">
      <c r="C106" t="s">
        <v>42</v>
      </c>
      <c r="D106" s="21" t="s">
        <v>214</v>
      </c>
    </row>
    <row r="107" spans="3:4" x14ac:dyDescent="0.3">
      <c r="C107" t="s">
        <v>44</v>
      </c>
      <c r="D107" s="21" t="s">
        <v>215</v>
      </c>
    </row>
    <row r="108" spans="3:4" x14ac:dyDescent="0.3">
      <c r="C108" t="s">
        <v>46</v>
      </c>
      <c r="D108" s="21" t="s">
        <v>216</v>
      </c>
    </row>
    <row r="109" spans="3:4" x14ac:dyDescent="0.3">
      <c r="C109" t="s">
        <v>48</v>
      </c>
      <c r="D109" s="21" t="s">
        <v>217</v>
      </c>
    </row>
    <row r="110" spans="3:4" x14ac:dyDescent="0.3">
      <c r="C110" t="s">
        <v>50</v>
      </c>
      <c r="D110" s="21" t="s">
        <v>218</v>
      </c>
    </row>
    <row r="111" spans="3:4" x14ac:dyDescent="0.3">
      <c r="C111" t="s">
        <v>52</v>
      </c>
      <c r="D111" s="21" t="s">
        <v>219</v>
      </c>
    </row>
    <row r="112" spans="3:4" x14ac:dyDescent="0.3">
      <c r="C112" t="s">
        <v>54</v>
      </c>
      <c r="D112" s="21" t="s">
        <v>220</v>
      </c>
    </row>
    <row r="113" spans="3:4" x14ac:dyDescent="0.3">
      <c r="C113" t="s">
        <v>56</v>
      </c>
      <c r="D113" s="21" t="s">
        <v>221</v>
      </c>
    </row>
    <row r="114" spans="3:4" x14ac:dyDescent="0.3">
      <c r="C114" t="s">
        <v>58</v>
      </c>
      <c r="D114" s="21" t="s">
        <v>222</v>
      </c>
    </row>
    <row r="115" spans="3:4" x14ac:dyDescent="0.3">
      <c r="C115" t="s">
        <v>60</v>
      </c>
      <c r="D115" s="21" t="s">
        <v>223</v>
      </c>
    </row>
    <row r="116" spans="3:4" x14ac:dyDescent="0.3">
      <c r="C116" t="s">
        <v>62</v>
      </c>
      <c r="D116" s="21" t="s">
        <v>224</v>
      </c>
    </row>
    <row r="117" spans="3:4" x14ac:dyDescent="0.3">
      <c r="C117" t="s">
        <v>64</v>
      </c>
      <c r="D117" s="21" t="s">
        <v>225</v>
      </c>
    </row>
    <row r="118" spans="3:4" x14ac:dyDescent="0.3">
      <c r="C118" t="s">
        <v>66</v>
      </c>
      <c r="D118" s="21" t="s">
        <v>226</v>
      </c>
    </row>
    <row r="119" spans="3:4" x14ac:dyDescent="0.3">
      <c r="C119" t="s">
        <v>68</v>
      </c>
      <c r="D119" s="21" t="s">
        <v>227</v>
      </c>
    </row>
    <row r="120" spans="3:4" x14ac:dyDescent="0.3">
      <c r="C120" t="s">
        <v>70</v>
      </c>
      <c r="D120" s="21" t="s">
        <v>228</v>
      </c>
    </row>
    <row r="121" spans="3:4" x14ac:dyDescent="0.3">
      <c r="C121" t="s">
        <v>72</v>
      </c>
      <c r="D121" s="21" t="s">
        <v>229</v>
      </c>
    </row>
    <row r="122" spans="3:4" x14ac:dyDescent="0.3">
      <c r="C122" t="s">
        <v>74</v>
      </c>
      <c r="D122" s="21" t="s">
        <v>230</v>
      </c>
    </row>
    <row r="123" spans="3:4" x14ac:dyDescent="0.3">
      <c r="C123" t="s">
        <v>76</v>
      </c>
      <c r="D123" s="21" t="s">
        <v>231</v>
      </c>
    </row>
    <row r="124" spans="3:4" x14ac:dyDescent="0.3">
      <c r="C124" t="s">
        <v>78</v>
      </c>
      <c r="D124" s="21" t="s">
        <v>232</v>
      </c>
    </row>
    <row r="125" spans="3:4" x14ac:dyDescent="0.3">
      <c r="C125" t="s">
        <v>80</v>
      </c>
      <c r="D125" s="21" t="s">
        <v>233</v>
      </c>
    </row>
    <row r="126" spans="3:4" x14ac:dyDescent="0.3">
      <c r="C126" t="s">
        <v>82</v>
      </c>
      <c r="D126" s="21" t="s">
        <v>234</v>
      </c>
    </row>
    <row r="127" spans="3:4" x14ac:dyDescent="0.3">
      <c r="C127" t="s">
        <v>84</v>
      </c>
      <c r="D127" s="21" t="s">
        <v>235</v>
      </c>
    </row>
    <row r="128" spans="3:4" x14ac:dyDescent="0.3">
      <c r="C128" t="s">
        <v>86</v>
      </c>
      <c r="D128" s="21" t="s">
        <v>236</v>
      </c>
    </row>
    <row r="129" spans="3:5" x14ac:dyDescent="0.3">
      <c r="C129" t="s">
        <v>88</v>
      </c>
      <c r="D129" s="21" t="s">
        <v>237</v>
      </c>
    </row>
    <row r="130" spans="3:5" x14ac:dyDescent="0.3">
      <c r="C130" t="s">
        <v>90</v>
      </c>
      <c r="D130" s="21" t="s">
        <v>238</v>
      </c>
    </row>
    <row r="131" spans="3:5" x14ac:dyDescent="0.3">
      <c r="C131" t="s">
        <v>92</v>
      </c>
      <c r="D131" s="21" t="s">
        <v>239</v>
      </c>
    </row>
    <row r="132" spans="3:5" x14ac:dyDescent="0.3">
      <c r="C132" t="s">
        <v>94</v>
      </c>
      <c r="D132" s="21" t="s">
        <v>240</v>
      </c>
    </row>
    <row r="133" spans="3:5" x14ac:dyDescent="0.3">
      <c r="C133" t="s">
        <v>96</v>
      </c>
      <c r="D133" s="21" t="s">
        <v>241</v>
      </c>
    </row>
    <row r="134" spans="3:5" x14ac:dyDescent="0.3">
      <c r="C134" t="s">
        <v>98</v>
      </c>
      <c r="D134" s="21" t="s">
        <v>242</v>
      </c>
    </row>
    <row r="135" spans="3:5" x14ac:dyDescent="0.3">
      <c r="C135" t="s">
        <v>100</v>
      </c>
      <c r="D135" s="21" t="s">
        <v>243</v>
      </c>
    </row>
    <row r="136" spans="3:5" x14ac:dyDescent="0.3">
      <c r="C136" t="s">
        <v>102</v>
      </c>
      <c r="D136" s="21" t="s">
        <v>244</v>
      </c>
    </row>
    <row r="137" spans="3:5" x14ac:dyDescent="0.3">
      <c r="C137" t="s">
        <v>6</v>
      </c>
      <c r="D137" s="21" t="s">
        <v>7</v>
      </c>
    </row>
    <row r="138" spans="3:5" x14ac:dyDescent="0.3">
      <c r="C138" t="s">
        <v>16</v>
      </c>
      <c r="D138" s="21" t="s">
        <v>245</v>
      </c>
    </row>
    <row r="139" spans="3:5" x14ac:dyDescent="0.3">
      <c r="C139" t="s">
        <v>24</v>
      </c>
      <c r="D139" s="21" t="s">
        <v>25</v>
      </c>
    </row>
    <row r="140" spans="3:5" x14ac:dyDescent="0.3">
      <c r="C140" t="s">
        <v>136</v>
      </c>
      <c r="D140" s="21" t="s">
        <v>137</v>
      </c>
    </row>
    <row r="141" spans="3:5" x14ac:dyDescent="0.3">
      <c r="C141" t="s">
        <v>134</v>
      </c>
      <c r="D141" s="21" t="s">
        <v>135</v>
      </c>
    </row>
    <row r="142" spans="3:5" x14ac:dyDescent="0.3">
      <c r="C142" t="s">
        <v>22</v>
      </c>
      <c r="D142" s="21" t="s">
        <v>23</v>
      </c>
    </row>
    <row r="143" spans="3:5" x14ac:dyDescent="0.3">
      <c r="C143" t="s">
        <v>155</v>
      </c>
      <c r="D143" s="21" t="s">
        <v>180</v>
      </c>
      <c r="E143" s="21" t="str">
        <f t="shared" ref="E143" si="2">"INSERT INTO ref_unit_pbj (kode_unit, nama_unit, kode_pbj, nama_pbj) VALUES('"&amp;C143&amp;"', '"&amp;D143&amp;"', '"&amp;C143&amp;"', '"&amp;D143&amp;"');"</f>
        <v>INSERT INTO ref_unit_pbj (kode_unit, nama_unit, kode_pbj, nama_pbj) VALUES('UN31.SVOK', 'Sekolah Vokasi', 'UN31.SVOK', 'Sekolah Vokasi');</v>
      </c>
    </row>
    <row r="144" spans="3:5" x14ac:dyDescent="0.3">
      <c r="C144" t="s">
        <v>114</v>
      </c>
      <c r="D144" s="21" t="s">
        <v>115</v>
      </c>
    </row>
    <row r="145" spans="3:5" x14ac:dyDescent="0.3">
      <c r="C145" t="s">
        <v>116</v>
      </c>
      <c r="D145" s="21" t="s">
        <v>117</v>
      </c>
    </row>
    <row r="146" spans="3:5" x14ac:dyDescent="0.3">
      <c r="C146" t="s">
        <v>0</v>
      </c>
      <c r="D146" s="21" t="s">
        <v>246</v>
      </c>
    </row>
    <row r="147" spans="3:5" x14ac:dyDescent="0.3">
      <c r="C147" t="s">
        <v>124</v>
      </c>
      <c r="D147" s="21" t="s">
        <v>125</v>
      </c>
    </row>
    <row r="148" spans="3:5" x14ac:dyDescent="0.3">
      <c r="C148" t="s">
        <v>197</v>
      </c>
      <c r="D148" s="21" t="s">
        <v>133</v>
      </c>
    </row>
    <row r="149" spans="3:5" x14ac:dyDescent="0.3">
      <c r="C149" t="s">
        <v>14</v>
      </c>
      <c r="D149" s="21" t="s">
        <v>15</v>
      </c>
    </row>
    <row r="151" spans="3:5" x14ac:dyDescent="0.3">
      <c r="C151" s="21" t="s">
        <v>159</v>
      </c>
      <c r="D151" s="21" t="s">
        <v>181</v>
      </c>
      <c r="E151" s="21" t="str">
        <f t="shared" ref="E151:E154" si="3">"INSERT INTO ref_unit_pbj (kode_unit, nama_unit, kode_pbj, nama_pbj) VALUES('"&amp;C151&amp;"', '"&amp;D151&amp;"', '"&amp;C151&amp;"', '"&amp;D151&amp;"');"</f>
        <v>INSERT INTO ref_unit_pbj (kode_unit, nama_unit, kode_pbj, nama_pbj) VALUES('UN31.KA', 'Komite Audit', 'UN31.KA', 'Komite Audit');</v>
      </c>
    </row>
    <row r="152" spans="3:5" x14ac:dyDescent="0.3">
      <c r="C152" s="21" t="s">
        <v>160</v>
      </c>
      <c r="D152" s="21" t="s">
        <v>182</v>
      </c>
      <c r="E152" s="21" t="str">
        <f t="shared" si="3"/>
        <v>INSERT INTO ref_unit_pbj (kode_unit, nama_unit, kode_pbj, nama_pbj) VALUES('UN31.LAB', 'Unit Laboratorium Terpadu Universitas', 'UN31.LAB', 'Unit Laboratorium Terpadu Universitas');</v>
      </c>
    </row>
    <row r="153" spans="3:5" x14ac:dyDescent="0.3">
      <c r="C153" s="21" t="s">
        <v>161</v>
      </c>
      <c r="D153" s="21" t="s">
        <v>183</v>
      </c>
      <c r="E153" s="21" t="str">
        <f t="shared" si="3"/>
        <v>INSERT INTO ref_unit_pbj (kode_unit, nama_unit, kode_pbj, nama_pbj) VALUES('UN31.UPASP', 'Unit Pemberdayaan Alumni, Sentra Karier, dan Penempatan Kerja', 'UN31.UPASP', 'Unit Pemberdayaan Alumni, Sentra Karier, dan Penempatan Kerja');</v>
      </c>
    </row>
    <row r="154" spans="3:5" x14ac:dyDescent="0.3">
      <c r="C154" s="21" t="s">
        <v>162</v>
      </c>
      <c r="D154" s="21" t="s">
        <v>184</v>
      </c>
      <c r="E154" s="21" t="str">
        <f t="shared" si="3"/>
        <v>INSERT INTO ref_unit_pbj (kode_unit, nama_unit, kode_pbj, nama_pbj) VALUES('UN31.PMO', 'Project Management Office', 'UN31.PMO', 'Project Management Office');</v>
      </c>
    </row>
  </sheetData>
  <conditionalFormatting sqref="C1:C150 C155:C1048576">
    <cfRule type="duplicateValues" dxfId="38" priority="4"/>
  </conditionalFormatting>
  <conditionalFormatting sqref="C151:C154">
    <cfRule type="duplicateValues" dxfId="37" priority="3"/>
  </conditionalFormatting>
  <conditionalFormatting sqref="C151:C154">
    <cfRule type="duplicateValues" dxfId="36" priority="2"/>
  </conditionalFormatting>
  <conditionalFormatting sqref="C151:C154">
    <cfRule type="duplicateValues" dxfId="35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5D0C0-3547-43FE-9A8E-54CC5D64BFC0}">
  <dimension ref="B2:Q19"/>
  <sheetViews>
    <sheetView tabSelected="1" topLeftCell="M3" workbookViewId="0">
      <selection activeCell="Q5" sqref="Q5"/>
    </sheetView>
  </sheetViews>
  <sheetFormatPr defaultRowHeight="14.4" x14ac:dyDescent="0.3"/>
  <cols>
    <col min="2" max="2" width="17.6640625" bestFit="1" customWidth="1"/>
    <col min="3" max="3" width="13.44140625" bestFit="1" customWidth="1"/>
    <col min="4" max="4" width="13.33203125" bestFit="1" customWidth="1"/>
    <col min="5" max="5" width="40.21875" customWidth="1"/>
    <col min="6" max="6" width="12.6640625" bestFit="1" customWidth="1"/>
    <col min="7" max="7" width="33.88671875" bestFit="1" customWidth="1"/>
    <col min="8" max="8" width="14.21875" bestFit="1" customWidth="1"/>
    <col min="9" max="9" width="14.77734375" bestFit="1" customWidth="1"/>
    <col min="10" max="10" width="13.6640625" bestFit="1" customWidth="1"/>
    <col min="11" max="11" width="38.6640625" bestFit="1" customWidth="1"/>
    <col min="15" max="15" width="18.77734375" customWidth="1"/>
    <col min="16" max="16" width="22.5546875" customWidth="1"/>
  </cols>
  <sheetData>
    <row r="2" spans="2:17" x14ac:dyDescent="0.3">
      <c r="B2" t="s">
        <v>185</v>
      </c>
    </row>
    <row r="4" spans="2:17" s="13" customFormat="1" x14ac:dyDescent="0.3">
      <c r="B4" s="13" t="s">
        <v>186</v>
      </c>
      <c r="C4" s="13" t="s">
        <v>187</v>
      </c>
      <c r="D4" s="13" t="s">
        <v>188</v>
      </c>
      <c r="E4" s="13" t="s">
        <v>189</v>
      </c>
      <c r="F4" s="13" t="s">
        <v>190</v>
      </c>
      <c r="G4" s="13" t="s">
        <v>191</v>
      </c>
      <c r="H4" s="13" t="s">
        <v>192</v>
      </c>
      <c r="I4" s="13" t="s">
        <v>193</v>
      </c>
      <c r="J4" s="13" t="s">
        <v>194</v>
      </c>
      <c r="K4" s="13" t="s">
        <v>195</v>
      </c>
      <c r="M4" s="13" t="s">
        <v>247</v>
      </c>
      <c r="N4" s="13" t="s">
        <v>248</v>
      </c>
      <c r="O4" s="13" t="s">
        <v>249</v>
      </c>
      <c r="P4" s="13" t="s">
        <v>250</v>
      </c>
      <c r="Q4" s="13" t="s">
        <v>251</v>
      </c>
    </row>
    <row r="5" spans="2:17" x14ac:dyDescent="0.3">
      <c r="C5">
        <v>4</v>
      </c>
      <c r="D5" s="12" t="s">
        <v>6</v>
      </c>
      <c r="E5" s="12" t="s">
        <v>7</v>
      </c>
      <c r="F5" s="12" t="s">
        <v>6</v>
      </c>
      <c r="G5" s="12" t="s">
        <v>7</v>
      </c>
      <c r="H5" s="12" t="s">
        <v>153</v>
      </c>
      <c r="I5" s="12" t="s">
        <v>163</v>
      </c>
      <c r="J5" s="12" t="s">
        <v>153</v>
      </c>
      <c r="K5" s="12" t="s">
        <v>163</v>
      </c>
      <c r="M5" s="21" t="str">
        <f>"UPDATE ref_unit_pbj SET kode_unit = '"&amp;H5&amp;"', kode_pbj = '"&amp;J5&amp;"', nama_unit='"&amp;I5&amp;"', nama_pbj='"&amp;K5&amp;"' WHERE kode_unit = '"&amp;D5&amp;"';"</f>
        <v>UPDATE ref_unit_pbj SET kode_unit = 'UN31.DTD', kode_pbj = 'UN31.DTD', nama_unit='Direktorat Teknologi Digital', nama_pbj='Direktorat Teknologi Digital' WHERE kode_unit = 'UN31.DSI';</v>
      </c>
      <c r="N5" t="str">
        <f>"UPDATE ref_rup SET kode_unit = '"&amp;H5&amp;"' WHERE kode_unit = '"&amp;D5&amp;"';"</f>
        <v>UPDATE ref_rup SET kode_unit = 'UN31.DTD' WHERE kode_unit = 'UN31.DSI';</v>
      </c>
      <c r="O5" s="21" t="str">
        <f>"UPDATE trx_kategori SET kode_unit_pbj = '"&amp;H5&amp;"' WHERE kode_unit_pbj = '"&amp;D5&amp;"';"</f>
        <v>UPDATE trx_kategori SET kode_unit_pbj = 'UN31.DTD' WHERE kode_unit_pbj = 'UN31.DSI';</v>
      </c>
      <c r="P5" s="21" t="str">
        <f>"UPDATE trx_penjaringan SET kode_unit_pbj = '"&amp;H5&amp;"' WHERE kode_unit_pbj = '"&amp;D5&amp;"';"</f>
        <v>UPDATE trx_penjaringan SET kode_unit_pbj = 'UN31.DTD' WHERE kode_unit_pbj = 'UN31.DSI';</v>
      </c>
      <c r="Q5" t="str">
        <f>"UPDATE ref_permintaan SET kode_unit = '"&amp;H5&amp;"' WHERE kode_unit = '"&amp;D5&amp;"';"</f>
        <v>UPDATE ref_permintaan SET kode_unit = 'UN31.DTD' WHERE kode_unit = 'UN31.DSI';</v>
      </c>
    </row>
    <row r="6" spans="2:17" x14ac:dyDescent="0.3">
      <c r="C6">
        <v>8</v>
      </c>
      <c r="D6" t="s">
        <v>14</v>
      </c>
      <c r="E6" t="s">
        <v>15</v>
      </c>
      <c r="F6" t="s">
        <v>14</v>
      </c>
      <c r="G6" t="s">
        <v>15</v>
      </c>
      <c r="H6" s="19" t="s">
        <v>158</v>
      </c>
      <c r="I6" s="19" t="s">
        <v>165</v>
      </c>
      <c r="J6" s="19" t="s">
        <v>158</v>
      </c>
      <c r="K6" s="19" t="s">
        <v>165</v>
      </c>
      <c r="M6" s="21" t="str">
        <f t="shared" ref="M6:M14" si="0">"UPDATE ref_unit_pbj SET kode_unit = '"&amp;H6&amp;"', kode_pbj = '"&amp;J6&amp;"', nama_unit='"&amp;I6&amp;"', nama_pbj='"&amp;K6&amp;"' WHERE kode_unit = '"&amp;D6&amp;"';"</f>
        <v>UPDATE ref_unit_pbj SET kode_unit = 'UN31.SEKUN', kode_pbj = 'UN31.SEKUN', nama_unit='Sekretariat Universitas', nama_pbj='Sekretariat Universitas' WHERE kode_unit = 'UN31.SRUH';</v>
      </c>
      <c r="N6" s="21" t="str">
        <f t="shared" ref="N6:N14" si="1">"UPDATE ref_rup SET kode_unit = '"&amp;H6&amp;"' WHERE kode_unit = '"&amp;D6&amp;"';"</f>
        <v>UPDATE ref_rup SET kode_unit = 'UN31.SEKUN' WHERE kode_unit = 'UN31.SRUH';</v>
      </c>
      <c r="O6" s="21" t="str">
        <f t="shared" ref="O6:O14" si="2">"UPDATE trx_kategori SET kode_unit_pbj = '"&amp;H6&amp;"' WHERE kode_unit_pbj = '"&amp;D6&amp;"';"</f>
        <v>UPDATE trx_kategori SET kode_unit_pbj = 'UN31.SEKUN' WHERE kode_unit_pbj = 'UN31.SRUH';</v>
      </c>
      <c r="P6" s="21" t="str">
        <f t="shared" ref="P6:P14" si="3">"UPDATE trx_penjaringan SET kode_unit_pbj = '"&amp;H6&amp;"' WHERE kode_unit_pbj = '"&amp;D6&amp;"';"</f>
        <v>UPDATE trx_penjaringan SET kode_unit_pbj = 'UN31.SEKUN' WHERE kode_unit_pbj = 'UN31.SRUH';</v>
      </c>
      <c r="Q6" s="21" t="str">
        <f t="shared" ref="Q6:Q14" si="4">"UPDATE ref_permintaan SET kode_unit = '"&amp;H6&amp;"' WHERE kode_unit = '"&amp;D6&amp;"';"</f>
        <v>UPDATE ref_permintaan SET kode_unit = 'UN31.SEKUN' WHERE kode_unit = 'UN31.SRUH';</v>
      </c>
    </row>
    <row r="7" spans="2:17" x14ac:dyDescent="0.3">
      <c r="C7">
        <v>9</v>
      </c>
      <c r="D7" t="s">
        <v>16</v>
      </c>
      <c r="E7" t="s">
        <v>17</v>
      </c>
      <c r="F7" t="s">
        <v>16</v>
      </c>
      <c r="G7" t="s">
        <v>17</v>
      </c>
      <c r="H7" s="19" t="s">
        <v>154</v>
      </c>
      <c r="I7" s="19" t="s">
        <v>164</v>
      </c>
      <c r="J7" s="19" t="s">
        <v>154</v>
      </c>
      <c r="K7" s="19" t="s">
        <v>164</v>
      </c>
      <c r="M7" s="21" t="str">
        <f t="shared" si="0"/>
        <v>UPDATE ref_unit_pbj SET kode_unit = 'UN31.PBI', kode_pbj = 'UN31.PBI', nama_unit='Pusat Bisnis dan Investasi', nama_pbj='Pusat Bisnis dan Investasi' WHERE kode_unit = 'UN31.PPBI';</v>
      </c>
      <c r="N7" s="21" t="str">
        <f t="shared" si="1"/>
        <v>UPDATE ref_rup SET kode_unit = 'UN31.PBI' WHERE kode_unit = 'UN31.PPBI';</v>
      </c>
      <c r="O7" s="21" t="str">
        <f t="shared" si="2"/>
        <v>UPDATE trx_kategori SET kode_unit_pbj = 'UN31.PBI' WHERE kode_unit_pbj = 'UN31.PPBI';</v>
      </c>
      <c r="P7" s="21" t="str">
        <f t="shared" si="3"/>
        <v>UPDATE trx_penjaringan SET kode_unit_pbj = 'UN31.PBI' WHERE kode_unit_pbj = 'UN31.PPBI';</v>
      </c>
      <c r="Q7" s="21" t="str">
        <f t="shared" si="4"/>
        <v>UPDATE ref_permintaan SET kode_unit = 'UN31.PBI' WHERE kode_unit = 'UN31.PPBI';</v>
      </c>
    </row>
    <row r="8" spans="2:17" x14ac:dyDescent="0.3">
      <c r="C8">
        <v>54</v>
      </c>
      <c r="D8" t="s">
        <v>106</v>
      </c>
      <c r="E8" t="s">
        <v>107</v>
      </c>
      <c r="F8" t="s">
        <v>106</v>
      </c>
      <c r="G8" t="s">
        <v>107</v>
      </c>
      <c r="H8" s="20" t="s">
        <v>149</v>
      </c>
      <c r="I8" s="20" t="s">
        <v>169</v>
      </c>
      <c r="J8" s="20" t="s">
        <v>149</v>
      </c>
      <c r="K8" s="20" t="s">
        <v>169</v>
      </c>
      <c r="M8" s="21" t="str">
        <f t="shared" si="0"/>
        <v>UPDATE ref_unit_pbj SET kode_unit = 'UN31.LPPJJ1', kode_pbj = 'UN31.LPPJJ1', nama_unit='Pusat Produksi Bahan Ajar dan Multimedia', nama_pbj='Pusat Produksi Bahan Ajar dan Multimedia' WHERE kode_unit = 'UN31.LLOP1';</v>
      </c>
      <c r="N8" s="21" t="str">
        <f t="shared" si="1"/>
        <v>UPDATE ref_rup SET kode_unit = 'UN31.LPPJJ1' WHERE kode_unit = 'UN31.LLOP1';</v>
      </c>
      <c r="O8" s="21" t="str">
        <f t="shared" si="2"/>
        <v>UPDATE trx_kategori SET kode_unit_pbj = 'UN31.LPPJJ1' WHERE kode_unit_pbj = 'UN31.LLOP1';</v>
      </c>
      <c r="P8" s="21" t="str">
        <f t="shared" si="3"/>
        <v>UPDATE trx_penjaringan SET kode_unit_pbj = 'UN31.LPPJJ1' WHERE kode_unit_pbj = 'UN31.LLOP1';</v>
      </c>
      <c r="Q8" s="21" t="str">
        <f t="shared" si="4"/>
        <v>UPDATE ref_permintaan SET kode_unit = 'UN31.LPPJJ1' WHERE kode_unit = 'UN31.LLOP1';</v>
      </c>
    </row>
    <row r="9" spans="2:17" x14ac:dyDescent="0.3">
      <c r="C9">
        <v>55</v>
      </c>
      <c r="D9" t="s">
        <v>108</v>
      </c>
      <c r="E9" t="s">
        <v>109</v>
      </c>
      <c r="F9" t="s">
        <v>108</v>
      </c>
      <c r="G9" t="s">
        <v>109</v>
      </c>
      <c r="H9" s="20" t="s">
        <v>150</v>
      </c>
      <c r="I9" s="20" t="s">
        <v>168</v>
      </c>
      <c r="J9" s="20" t="s">
        <v>150</v>
      </c>
      <c r="K9" s="20" t="s">
        <v>168</v>
      </c>
      <c r="M9" s="21" t="str">
        <f t="shared" si="0"/>
        <v>UPDATE ref_unit_pbj SET kode_unit = 'UN31.LPPJJ2', kode_pbj = 'UN31.LPPJJ2', nama_unit='Pusat Distribusi Bahan Ajar', nama_pbj='Pusat Distribusi Bahan Ajar' WHERE kode_unit = 'UN31.LLOP2';</v>
      </c>
      <c r="N9" s="21" t="str">
        <f t="shared" si="1"/>
        <v>UPDATE ref_rup SET kode_unit = 'UN31.LPPJJ2' WHERE kode_unit = 'UN31.LLOP2';</v>
      </c>
      <c r="O9" s="21" t="str">
        <f t="shared" si="2"/>
        <v>UPDATE trx_kategori SET kode_unit_pbj = 'UN31.LPPJJ2' WHERE kode_unit_pbj = 'UN31.LLOP2';</v>
      </c>
      <c r="P9" s="21" t="str">
        <f t="shared" si="3"/>
        <v>UPDATE trx_penjaringan SET kode_unit_pbj = 'UN31.LPPJJ2' WHERE kode_unit_pbj = 'UN31.LLOP2';</v>
      </c>
      <c r="Q9" s="21" t="str">
        <f t="shared" si="4"/>
        <v>UPDATE ref_permintaan SET kode_unit = 'UN31.LPPJJ2' WHERE kode_unit = 'UN31.LLOP2';</v>
      </c>
    </row>
    <row r="10" spans="2:17" x14ac:dyDescent="0.3">
      <c r="C10">
        <v>56</v>
      </c>
      <c r="D10" t="s">
        <v>110</v>
      </c>
      <c r="E10" t="s">
        <v>111</v>
      </c>
      <c r="F10" t="s">
        <v>110</v>
      </c>
      <c r="G10" t="s">
        <v>111</v>
      </c>
      <c r="H10" s="20" t="s">
        <v>151</v>
      </c>
      <c r="I10" s="20" t="s">
        <v>111</v>
      </c>
      <c r="J10" s="20" t="s">
        <v>151</v>
      </c>
      <c r="K10" s="20" t="s">
        <v>111</v>
      </c>
      <c r="M10" s="21" t="str">
        <f t="shared" si="0"/>
        <v>UPDATE ref_unit_pbj SET kode_unit = 'UN31.LPPJJ3', kode_pbj = 'UN31.LPPJJ3', nama_unit='Pusat Pengelolaan Pembelajaran', nama_pbj='Pusat Pengelolaan Pembelajaran' WHERE kode_unit = 'UN31.LLOP3';</v>
      </c>
      <c r="N10" s="21" t="str">
        <f t="shared" si="1"/>
        <v>UPDATE ref_rup SET kode_unit = 'UN31.LPPJJ3' WHERE kode_unit = 'UN31.LLOP3';</v>
      </c>
      <c r="O10" s="21" t="str">
        <f t="shared" si="2"/>
        <v>UPDATE trx_kategori SET kode_unit_pbj = 'UN31.LPPJJ3' WHERE kode_unit_pbj = 'UN31.LLOP3';</v>
      </c>
      <c r="P10" s="21" t="str">
        <f t="shared" si="3"/>
        <v>UPDATE trx_penjaringan SET kode_unit_pbj = 'UN31.LPPJJ3' WHERE kode_unit_pbj = 'UN31.LLOP3';</v>
      </c>
      <c r="Q10" s="21" t="str">
        <f t="shared" si="4"/>
        <v>UPDATE ref_permintaan SET kode_unit = 'UN31.LPPJJ3' WHERE kode_unit = 'UN31.LLOP3';</v>
      </c>
    </row>
    <row r="11" spans="2:17" x14ac:dyDescent="0.3">
      <c r="C11">
        <v>57</v>
      </c>
      <c r="D11" t="s">
        <v>112</v>
      </c>
      <c r="E11" t="s">
        <v>113</v>
      </c>
      <c r="F11" t="s">
        <v>112</v>
      </c>
      <c r="G11" t="s">
        <v>113</v>
      </c>
      <c r="H11" s="19" t="s">
        <v>152</v>
      </c>
      <c r="I11" s="19" t="s">
        <v>166</v>
      </c>
      <c r="J11" s="19" t="s">
        <v>152</v>
      </c>
      <c r="K11" s="19" t="s">
        <v>166</v>
      </c>
      <c r="M11" s="21" t="str">
        <f t="shared" si="0"/>
        <v>UPDATE ref_unit_pbj SET kode_unit = 'UN31.LPPJJ4', kode_pbj = 'UN31.LPPJJ4', nama_unit='Pusat Pengelolaan Ujian', nama_pbj='Pusat Pengelolaan Ujian' WHERE kode_unit = 'UN31.LLOP4';</v>
      </c>
      <c r="N11" s="21" t="str">
        <f t="shared" si="1"/>
        <v>UPDATE ref_rup SET kode_unit = 'UN31.LPPJJ4' WHERE kode_unit = 'UN31.LLOP4';</v>
      </c>
      <c r="O11" s="21" t="str">
        <f t="shared" si="2"/>
        <v>UPDATE trx_kategori SET kode_unit_pbj = 'UN31.LPPJJ4' WHERE kode_unit_pbj = 'UN31.LLOP4';</v>
      </c>
      <c r="P11" s="21" t="str">
        <f t="shared" si="3"/>
        <v>UPDATE trx_penjaringan SET kode_unit_pbj = 'UN31.LPPJJ4' WHERE kode_unit_pbj = 'UN31.LLOP4';</v>
      </c>
      <c r="Q11" s="21" t="str">
        <f t="shared" si="4"/>
        <v>UPDATE ref_permintaan SET kode_unit = 'UN31.LPPJJ4' WHERE kode_unit = 'UN31.LLOP4';</v>
      </c>
    </row>
    <row r="12" spans="2:17" x14ac:dyDescent="0.3">
      <c r="C12">
        <v>59</v>
      </c>
      <c r="D12" s="14" t="s">
        <v>116</v>
      </c>
      <c r="E12" t="s">
        <v>117</v>
      </c>
      <c r="F12" t="s">
        <v>116</v>
      </c>
      <c r="G12" t="s">
        <v>117</v>
      </c>
      <c r="H12" s="20" t="s">
        <v>156</v>
      </c>
      <c r="I12" s="20" t="s">
        <v>170</v>
      </c>
      <c r="J12" s="20" t="s">
        <v>156</v>
      </c>
      <c r="K12" s="20" t="s">
        <v>170</v>
      </c>
      <c r="M12" s="21" t="str">
        <f t="shared" si="0"/>
        <v>UPDATE ref_unit_pbj SET kode_unit = 'UN31.DSDM', kode_pbj = 'UN31.DSDM', nama_unit='Direktorat Sumber Daya Manusia', nama_pbj='Direktorat Sumber Daya Manusia' WHERE kode_unit = 'UN31.PSDM';</v>
      </c>
      <c r="N12" s="21" t="str">
        <f t="shared" si="1"/>
        <v>UPDATE ref_rup SET kode_unit = 'UN31.DSDM' WHERE kode_unit = 'UN31.PSDM';</v>
      </c>
      <c r="O12" s="21" t="str">
        <f t="shared" si="2"/>
        <v>UPDATE trx_kategori SET kode_unit_pbj = 'UN31.DSDM' WHERE kode_unit_pbj = 'UN31.PSDM';</v>
      </c>
      <c r="P12" s="21" t="str">
        <f t="shared" si="3"/>
        <v>UPDATE trx_penjaringan SET kode_unit_pbj = 'UN31.DSDM' WHERE kode_unit_pbj = 'UN31.PSDM';</v>
      </c>
      <c r="Q12" s="21" t="str">
        <f t="shared" si="4"/>
        <v>UPDATE ref_permintaan SET kode_unit = 'UN31.DSDM' WHERE kode_unit = 'UN31.PSDM';</v>
      </c>
    </row>
    <row r="13" spans="2:17" s="19" customFormat="1" x14ac:dyDescent="0.3">
      <c r="C13" s="19">
        <v>67</v>
      </c>
      <c r="D13" s="19" t="s">
        <v>197</v>
      </c>
      <c r="E13" s="19" t="s">
        <v>133</v>
      </c>
      <c r="F13" s="19" t="s">
        <v>197</v>
      </c>
      <c r="G13" s="19" t="s">
        <v>133</v>
      </c>
      <c r="H13" s="19" t="s">
        <v>157</v>
      </c>
      <c r="I13" s="19" t="s">
        <v>167</v>
      </c>
      <c r="J13" s="19" t="s">
        <v>157</v>
      </c>
      <c r="K13" s="19" t="s">
        <v>167</v>
      </c>
      <c r="M13" s="21" t="str">
        <f t="shared" si="0"/>
        <v>UPDATE ref_unit_pbj SET kode_unit = 'UN31.PKPK', kode_pbj = 'UN31.PKPK', nama_unit='Pusat Komunikasi Publik dan Kerja Sama', nama_pbj='Pusat Komunikasi Publik dan Kerja Sama' WHERE kode_unit = 'UN31.DPK';</v>
      </c>
      <c r="N13" s="21" t="str">
        <f t="shared" si="1"/>
        <v>UPDATE ref_rup SET kode_unit = 'UN31.PKPK' WHERE kode_unit = 'UN31.DPK';</v>
      </c>
      <c r="O13" s="21" t="str">
        <f t="shared" si="2"/>
        <v>UPDATE trx_kategori SET kode_unit_pbj = 'UN31.PKPK' WHERE kode_unit_pbj = 'UN31.DPK';</v>
      </c>
      <c r="P13" s="21" t="str">
        <f t="shared" si="3"/>
        <v>UPDATE trx_penjaringan SET kode_unit_pbj = 'UN31.PKPK' WHERE kode_unit_pbj = 'UN31.DPK';</v>
      </c>
      <c r="Q13" s="21" t="str">
        <f t="shared" si="4"/>
        <v>UPDATE ref_permintaan SET kode_unit = 'UN31.PKPK' WHERE kode_unit = 'UN31.DPK';</v>
      </c>
    </row>
    <row r="14" spans="2:17" x14ac:dyDescent="0.3">
      <c r="C14">
        <v>79</v>
      </c>
      <c r="D14" s="14" t="s">
        <v>196</v>
      </c>
      <c r="E14" t="s">
        <v>198</v>
      </c>
      <c r="F14" t="s">
        <v>196</v>
      </c>
      <c r="G14" t="s">
        <v>198</v>
      </c>
      <c r="H14" s="20" t="s">
        <v>148</v>
      </c>
      <c r="I14" s="20" t="s">
        <v>179</v>
      </c>
      <c r="J14" s="20" t="s">
        <v>148</v>
      </c>
      <c r="K14" s="20" t="s">
        <v>179</v>
      </c>
      <c r="M14" s="21" t="str">
        <f t="shared" si="0"/>
        <v>UPDATE ref_unit_pbj SET kode_unit = 'UN31.LPPJJ', kode_pbj = 'UN31.LPPJJ', nama_unit='Lembaga Pendukung Pembelajaran Jarak Jauh', nama_pbj='Lembaga Pendukung Pembelajaran Jarak Jauh' WHERE kode_unit = 'UN31.LLOP';</v>
      </c>
      <c r="N14" s="21" t="str">
        <f t="shared" si="1"/>
        <v>UPDATE ref_rup SET kode_unit = 'UN31.LPPJJ' WHERE kode_unit = 'UN31.LLOP';</v>
      </c>
      <c r="O14" s="21" t="str">
        <f t="shared" si="2"/>
        <v>UPDATE trx_kategori SET kode_unit_pbj = 'UN31.LPPJJ' WHERE kode_unit_pbj = 'UN31.LLOP';</v>
      </c>
      <c r="P14" s="21" t="str">
        <f t="shared" si="3"/>
        <v>UPDATE trx_penjaringan SET kode_unit_pbj = 'UN31.LPPJJ' WHERE kode_unit_pbj = 'UN31.LLOP';</v>
      </c>
      <c r="Q14" s="21" t="str">
        <f t="shared" si="4"/>
        <v>UPDATE ref_permintaan SET kode_unit = 'UN31.LPPJJ' WHERE kode_unit = 'UN31.LLOP';</v>
      </c>
    </row>
    <row r="15" spans="2:17" x14ac:dyDescent="0.3">
      <c r="D15" s="14"/>
    </row>
    <row r="16" spans="2:17" x14ac:dyDescent="0.3">
      <c r="D16" s="14"/>
    </row>
    <row r="17" spans="4:4" x14ac:dyDescent="0.3">
      <c r="D17" s="15"/>
    </row>
    <row r="18" spans="4:4" x14ac:dyDescent="0.3">
      <c r="D18" s="15"/>
    </row>
    <row r="19" spans="4:4" x14ac:dyDescent="0.3">
      <c r="D19" s="16"/>
    </row>
  </sheetData>
  <conditionalFormatting sqref="D5">
    <cfRule type="duplicateValues" dxfId="34" priority="38"/>
  </conditionalFormatting>
  <conditionalFormatting sqref="H5">
    <cfRule type="duplicateValues" dxfId="33" priority="37"/>
  </conditionalFormatting>
  <conditionalFormatting sqref="J5">
    <cfRule type="duplicateValues" dxfId="32" priority="35"/>
  </conditionalFormatting>
  <conditionalFormatting sqref="H6">
    <cfRule type="duplicateValues" dxfId="31" priority="34"/>
  </conditionalFormatting>
  <conditionalFormatting sqref="H6">
    <cfRule type="duplicateValues" dxfId="30" priority="33"/>
  </conditionalFormatting>
  <conditionalFormatting sqref="J6">
    <cfRule type="duplicateValues" dxfId="29" priority="32"/>
  </conditionalFormatting>
  <conditionalFormatting sqref="J6">
    <cfRule type="duplicateValues" dxfId="28" priority="31"/>
  </conditionalFormatting>
  <conditionalFormatting sqref="H7">
    <cfRule type="duplicateValues" dxfId="27" priority="30"/>
  </conditionalFormatting>
  <conditionalFormatting sqref="H7">
    <cfRule type="duplicateValues" dxfId="26" priority="29"/>
  </conditionalFormatting>
  <conditionalFormatting sqref="J7">
    <cfRule type="duplicateValues" dxfId="25" priority="28"/>
  </conditionalFormatting>
  <conditionalFormatting sqref="J7">
    <cfRule type="duplicateValues" dxfId="24" priority="27"/>
  </conditionalFormatting>
  <conditionalFormatting sqref="H11">
    <cfRule type="duplicateValues" dxfId="23" priority="26"/>
  </conditionalFormatting>
  <conditionalFormatting sqref="H11">
    <cfRule type="duplicateValues" dxfId="22" priority="25"/>
  </conditionalFormatting>
  <conditionalFormatting sqref="J11">
    <cfRule type="duplicateValues" dxfId="21" priority="24"/>
  </conditionalFormatting>
  <conditionalFormatting sqref="J11">
    <cfRule type="duplicateValues" dxfId="20" priority="23"/>
  </conditionalFormatting>
  <conditionalFormatting sqref="H13">
    <cfRule type="duplicateValues" dxfId="19" priority="22"/>
  </conditionalFormatting>
  <conditionalFormatting sqref="H13">
    <cfRule type="duplicateValues" dxfId="18" priority="21"/>
  </conditionalFormatting>
  <conditionalFormatting sqref="J13">
    <cfRule type="duplicateValues" dxfId="17" priority="20"/>
  </conditionalFormatting>
  <conditionalFormatting sqref="J13">
    <cfRule type="duplicateValues" dxfId="16" priority="19"/>
  </conditionalFormatting>
  <conditionalFormatting sqref="H8">
    <cfRule type="duplicateValues" dxfId="15" priority="18"/>
  </conditionalFormatting>
  <conditionalFormatting sqref="H8">
    <cfRule type="duplicateValues" dxfId="14" priority="17"/>
  </conditionalFormatting>
  <conditionalFormatting sqref="J8">
    <cfRule type="duplicateValues" dxfId="13" priority="16"/>
  </conditionalFormatting>
  <conditionalFormatting sqref="J8">
    <cfRule type="duplicateValues" dxfId="12" priority="15"/>
  </conditionalFormatting>
  <conditionalFormatting sqref="H9">
    <cfRule type="duplicateValues" dxfId="11" priority="14"/>
  </conditionalFormatting>
  <conditionalFormatting sqref="H9">
    <cfRule type="duplicateValues" dxfId="10" priority="13"/>
  </conditionalFormatting>
  <conditionalFormatting sqref="J9">
    <cfRule type="duplicateValues" dxfId="9" priority="12"/>
  </conditionalFormatting>
  <conditionalFormatting sqref="J9">
    <cfRule type="duplicateValues" dxfId="8" priority="11"/>
  </conditionalFormatting>
  <conditionalFormatting sqref="H10">
    <cfRule type="duplicateValues" dxfId="7" priority="10"/>
  </conditionalFormatting>
  <conditionalFormatting sqref="H10">
    <cfRule type="duplicateValues" dxfId="6" priority="9"/>
  </conditionalFormatting>
  <conditionalFormatting sqref="J10">
    <cfRule type="duplicateValues" dxfId="5" priority="8"/>
  </conditionalFormatting>
  <conditionalFormatting sqref="J10">
    <cfRule type="duplicateValues" dxfId="4" priority="7"/>
  </conditionalFormatting>
  <conditionalFormatting sqref="H12">
    <cfRule type="duplicateValues" dxfId="3" priority="4"/>
  </conditionalFormatting>
  <conditionalFormatting sqref="H12">
    <cfRule type="duplicateValues" dxfId="2" priority="3"/>
  </conditionalFormatting>
  <conditionalFormatting sqref="J12">
    <cfRule type="duplicateValues" dxfId="1" priority="2"/>
  </conditionalFormatting>
  <conditionalFormatting sqref="J1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lengkapi_unit_lama</vt:lpstr>
      <vt:lpstr>ref_unit_pbj_history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Rafli Alfazri</dc:creator>
  <cp:lastModifiedBy>Rafli Alfazri</cp:lastModifiedBy>
  <dcterms:created xsi:type="dcterms:W3CDTF">2026-02-03T07:19:44Z</dcterms:created>
  <dcterms:modified xsi:type="dcterms:W3CDTF">2026-02-05T18:25:31Z</dcterms:modified>
</cp:coreProperties>
</file>