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fli\OneDrive\Desktop\"/>
    </mc:Choice>
  </mc:AlternateContent>
  <xr:revisionPtr revIDLastSave="0" documentId="13_ncr:1_{DE669AAB-E0AE-4761-8FAF-BAA14B6213AD}" xr6:coauthVersionLast="45" xr6:coauthVersionMax="45" xr10:uidLastSave="{00000000-0000-0000-0000-000000000000}"/>
  <bookViews>
    <workbookView xWindow="-108" yWindow="-108" windowWidth="23256" windowHeight="12456" firstSheet="2" activeTab="5" xr2:uid="{1CC67A06-2E95-4BA1-9300-FFED1E496959}"/>
  </bookViews>
  <sheets>
    <sheet name="ref_jenis_pengadaan" sheetId="4" r:id="rId1"/>
    <sheet name="ref_ba_ku_reviu_item" sheetId="3" r:id="rId2"/>
    <sheet name="ref_ba_ku_reviu_step" sheetId="2" r:id="rId3"/>
    <sheet name="trx_ba_kaji_ulang" sheetId="5" r:id="rId4"/>
    <sheet name="trx_ba_ku_rekomen_tanggap" sheetId="1" r:id="rId5"/>
    <sheet name="trx_ba_ku_tanya_jawab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27" i="2" l="1"/>
  <c r="G24" i="2"/>
  <c r="G25" i="2"/>
  <c r="G26" i="2"/>
  <c r="G28" i="2"/>
  <c r="G29" i="2"/>
  <c r="G30" i="2"/>
  <c r="D24" i="2"/>
  <c r="D25" i="2"/>
  <c r="D26" i="2"/>
  <c r="D27" i="2"/>
  <c r="D28" i="2"/>
  <c r="D29" i="2"/>
  <c r="D30" i="2"/>
  <c r="G17" i="2"/>
  <c r="G18" i="2"/>
  <c r="G19" i="2"/>
  <c r="G20" i="2"/>
  <c r="G21" i="2"/>
  <c r="G22" i="2"/>
  <c r="G23" i="2"/>
  <c r="D17" i="2"/>
  <c r="D18" i="2"/>
  <c r="D19" i="2"/>
  <c r="D20" i="2"/>
  <c r="D21" i="2"/>
  <c r="D22" i="2"/>
  <c r="D2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3" i="2"/>
</calcChain>
</file>

<file path=xl/sharedStrings.xml><?xml version="1.0" encoding="utf-8"?>
<sst xmlns="http://schemas.openxmlformats.org/spreadsheetml/2006/main" count="42" uniqueCount="35">
  <si>
    <t>rekomendasi</t>
  </si>
  <si>
    <t>tanggapan</t>
  </si>
  <si>
    <t>kode_tanya</t>
  </si>
  <si>
    <t>jawab</t>
  </si>
  <si>
    <t>ref_multiple_choice</t>
  </si>
  <si>
    <t>kode_mc</t>
  </si>
  <si>
    <t>keterangan</t>
  </si>
  <si>
    <t>kode_jenis_pengadaan</t>
  </si>
  <si>
    <t>Reviu Dokumen Anggaran Belanja (DIPA atau RKA-U)</t>
  </si>
  <si>
    <t>Reviu ID Paket RUP</t>
  </si>
  <si>
    <t>Reviu Waktu Penggunaan Barang/Jasa</t>
  </si>
  <si>
    <t>Reviu Spesifikasi Teknis</t>
  </si>
  <si>
    <t>Reviu KAK</t>
  </si>
  <si>
    <t>Reviu Spesifikasi Teknis dan Gambar</t>
  </si>
  <si>
    <t>Reviu Harga Perkiraan Sendiri (HPS)</t>
  </si>
  <si>
    <t>Reviu Rancangan Kontrak / Perjanjian</t>
  </si>
  <si>
    <t>Reviu Analisis Pasar</t>
  </si>
  <si>
    <t>step</t>
  </si>
  <si>
    <t>jenis_pengadaan</t>
  </si>
  <si>
    <t>Barang</t>
  </si>
  <si>
    <t>Konstruksi</t>
  </si>
  <si>
    <t>Jasa Konsultansi</t>
  </si>
  <si>
    <t>Jasa Lainnya</t>
  </si>
  <si>
    <t>Ya</t>
  </si>
  <si>
    <t>Tidak</t>
  </si>
  <si>
    <t>Memenuhi</t>
  </si>
  <si>
    <t>Tidak Memenuhi</t>
  </si>
  <si>
    <t>kode_reviu_item</t>
  </si>
  <si>
    <t>kode_reviu_step</t>
  </si>
  <si>
    <t>kode_undangan</t>
  </si>
  <si>
    <t>kesimpulan</t>
  </si>
  <si>
    <t>is_revisi</t>
  </si>
  <si>
    <t>kode_rekomen_tanggap</t>
  </si>
  <si>
    <t>kode_ba_ku</t>
  </si>
  <si>
    <t>kode_tanya_jawab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</si>
</sst>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b/>
      <sz val="11"/>
      <color theme="0" tint="-0.34998626667073579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1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FC9-9B81-42E4-9A36-25D0759F219C}">
  <dimension ref="B2:C6"/>
  <sheetViews>
    <sheetView workbookViewId="0">
      <selection activeCell="F12" sqref="F12"/>
    </sheetView>
  </sheetViews>
  <sheetFormatPr defaultRowHeight="14.4" x14ac:dyDescent="0.3"/>
  <cols>
    <col min="2" max="2" width="20.77734375" bestFit="1" customWidth="1"/>
    <col min="3" max="3" width="14.6640625" bestFit="1" customWidth="1"/>
  </cols>
  <sheetData>
    <row r="2" spans="2:3" s="1" customFormat="1" x14ac:dyDescent="0.3">
      <c r="B2" s="1" t="s">
        <v>7</v>
      </c>
      <c r="C2" s="1" t="s">
        <v>18</v>
      </c>
    </row>
    <row r="3" spans="2:3" x14ac:dyDescent="0.3">
      <c r="B3">
        <v>1</v>
      </c>
      <c r="C3" t="s">
        <v>19</v>
      </c>
    </row>
    <row r="4" spans="2:3" x14ac:dyDescent="0.3">
      <c r="B4">
        <v>2</v>
      </c>
      <c r="C4" t="s">
        <v>20</v>
      </c>
    </row>
    <row r="5" spans="2:3" x14ac:dyDescent="0.3">
      <c r="B5">
        <v>3</v>
      </c>
      <c r="C5" t="s">
        <v>21</v>
      </c>
    </row>
    <row r="6" spans="2:3" x14ac:dyDescent="0.3">
      <c r="B6">
        <v>4</v>
      </c>
      <c r="C6" t="s">
        <v>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E6F9E-96EC-4B5C-B5C6-BBEE35A212B6}">
  <dimension ref="B2:C11"/>
  <sheetViews>
    <sheetView workbookViewId="0">
      <selection activeCell="B2" sqref="B2"/>
    </sheetView>
  </sheetViews>
  <sheetFormatPr defaultRowHeight="14.4" x14ac:dyDescent="0.3"/>
  <cols>
    <col min="2" max="2" width="15.21875" customWidth="1"/>
    <col min="3" max="3" width="44.21875" bestFit="1" customWidth="1"/>
  </cols>
  <sheetData>
    <row r="2" spans="2:3" s="1" customFormat="1" x14ac:dyDescent="0.3">
      <c r="B2" s="1" t="s">
        <v>27</v>
      </c>
      <c r="C2" s="1" t="s">
        <v>6</v>
      </c>
    </row>
    <row r="3" spans="2:3" x14ac:dyDescent="0.3">
      <c r="B3">
        <v>1</v>
      </c>
      <c r="C3" t="s">
        <v>8</v>
      </c>
    </row>
    <row r="4" spans="2:3" x14ac:dyDescent="0.3">
      <c r="B4">
        <v>2</v>
      </c>
      <c r="C4" t="s">
        <v>9</v>
      </c>
    </row>
    <row r="5" spans="2:3" x14ac:dyDescent="0.3">
      <c r="B5">
        <v>3</v>
      </c>
      <c r="C5" t="s">
        <v>10</v>
      </c>
    </row>
    <row r="6" spans="2:3" x14ac:dyDescent="0.3">
      <c r="B6">
        <v>4</v>
      </c>
      <c r="C6" t="s">
        <v>11</v>
      </c>
    </row>
    <row r="7" spans="2:3" x14ac:dyDescent="0.3">
      <c r="B7">
        <v>5</v>
      </c>
      <c r="C7" t="s">
        <v>12</v>
      </c>
    </row>
    <row r="8" spans="2:3" x14ac:dyDescent="0.3">
      <c r="B8">
        <v>6</v>
      </c>
      <c r="C8" t="s">
        <v>13</v>
      </c>
    </row>
    <row r="9" spans="2:3" x14ac:dyDescent="0.3">
      <c r="B9">
        <v>7</v>
      </c>
      <c r="C9" t="s">
        <v>14</v>
      </c>
    </row>
    <row r="10" spans="2:3" x14ac:dyDescent="0.3">
      <c r="B10">
        <v>8</v>
      </c>
      <c r="C10" t="s">
        <v>15</v>
      </c>
    </row>
    <row r="11" spans="2:3" x14ac:dyDescent="0.3">
      <c r="B11">
        <v>9</v>
      </c>
      <c r="C11" t="s">
        <v>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03662A-A288-4004-A0BF-C6F8BAEBAD54}">
  <dimension ref="B2:G30"/>
  <sheetViews>
    <sheetView workbookViewId="0">
      <selection activeCell="B3" sqref="B3"/>
    </sheetView>
  </sheetViews>
  <sheetFormatPr defaultRowHeight="14.4" x14ac:dyDescent="0.3"/>
  <cols>
    <col min="2" max="2" width="15.109375" bestFit="1" customWidth="1"/>
    <col min="3" max="3" width="19.77734375" bestFit="1" customWidth="1"/>
    <col min="4" max="4" width="14.21875" style="2" bestFit="1" customWidth="1"/>
    <col min="5" max="5" width="7.33203125" bestFit="1" customWidth="1"/>
    <col min="6" max="6" width="16.33203125" customWidth="1"/>
    <col min="7" max="7" width="44.21875" style="2" bestFit="1" customWidth="1"/>
  </cols>
  <sheetData>
    <row r="2" spans="2:7" s="1" customFormat="1" x14ac:dyDescent="0.3">
      <c r="B2" s="1" t="s">
        <v>28</v>
      </c>
      <c r="C2" s="1" t="s">
        <v>7</v>
      </c>
      <c r="D2" s="3"/>
      <c r="E2" s="1" t="s">
        <v>17</v>
      </c>
      <c r="F2" s="1" t="s">
        <v>27</v>
      </c>
      <c r="G2" s="3"/>
    </row>
    <row r="3" spans="2:7" x14ac:dyDescent="0.3">
      <c r="B3">
        <v>1</v>
      </c>
      <c r="C3">
        <v>1</v>
      </c>
      <c r="D3" s="2" t="str">
        <f>VLOOKUP(C3,ref_jenis_pengadaan!$B$2:$C$6,2)</f>
        <v>Barang</v>
      </c>
      <c r="E3">
        <v>1</v>
      </c>
      <c r="F3">
        <v>1</v>
      </c>
      <c r="G3" s="2" t="str">
        <f>VLOOKUP(F3,ref_ba_ku_reviu_item!$B$2:$C$11,2)</f>
        <v>Reviu Dokumen Anggaran Belanja (DIPA atau RKA-U)</v>
      </c>
    </row>
    <row r="4" spans="2:7" x14ac:dyDescent="0.3">
      <c r="B4">
        <v>2</v>
      </c>
      <c r="C4">
        <v>1</v>
      </c>
      <c r="D4" s="2" t="str">
        <f>VLOOKUP(C4,ref_jenis_pengadaan!$B$2:$C$6,2)</f>
        <v>Barang</v>
      </c>
      <c r="E4">
        <v>2</v>
      </c>
      <c r="F4">
        <v>2</v>
      </c>
      <c r="G4" s="2" t="str">
        <f>VLOOKUP(F4,ref_ba_ku_reviu_item!$B$2:$C$11,2)</f>
        <v>Reviu ID Paket RUP</v>
      </c>
    </row>
    <row r="5" spans="2:7" x14ac:dyDescent="0.3">
      <c r="B5">
        <v>3</v>
      </c>
      <c r="C5">
        <v>1</v>
      </c>
      <c r="D5" s="2" t="str">
        <f>VLOOKUP(C5,ref_jenis_pengadaan!$B$2:$C$6,2)</f>
        <v>Barang</v>
      </c>
      <c r="E5">
        <v>3</v>
      </c>
      <c r="F5">
        <v>3</v>
      </c>
      <c r="G5" s="2" t="str">
        <f>VLOOKUP(F5,ref_ba_ku_reviu_item!$B$2:$C$11,2)</f>
        <v>Reviu Waktu Penggunaan Barang/Jasa</v>
      </c>
    </row>
    <row r="6" spans="2:7" x14ac:dyDescent="0.3">
      <c r="B6">
        <v>4</v>
      </c>
      <c r="C6">
        <v>1</v>
      </c>
      <c r="D6" s="2" t="str">
        <f>VLOOKUP(C6,ref_jenis_pengadaan!$B$2:$C$6,2)</f>
        <v>Barang</v>
      </c>
      <c r="E6">
        <v>4</v>
      </c>
      <c r="F6">
        <v>4</v>
      </c>
      <c r="G6" s="2" t="str">
        <f>VLOOKUP(F6,ref_ba_ku_reviu_item!$B$2:$C$11,2)</f>
        <v>Reviu Spesifikasi Teknis</v>
      </c>
    </row>
    <row r="7" spans="2:7" x14ac:dyDescent="0.3">
      <c r="B7">
        <v>5</v>
      </c>
      <c r="C7">
        <v>1</v>
      </c>
      <c r="D7" s="2" t="str">
        <f>VLOOKUP(C7,ref_jenis_pengadaan!$B$2:$C$6,2)</f>
        <v>Barang</v>
      </c>
      <c r="E7">
        <v>5</v>
      </c>
      <c r="F7">
        <v>7</v>
      </c>
      <c r="G7" s="2" t="str">
        <f>VLOOKUP(F7,ref_ba_ku_reviu_item!$B$2:$C$11,2)</f>
        <v>Reviu Harga Perkiraan Sendiri (HPS)</v>
      </c>
    </row>
    <row r="8" spans="2:7" x14ac:dyDescent="0.3">
      <c r="B8">
        <v>6</v>
      </c>
      <c r="C8">
        <v>1</v>
      </c>
      <c r="D8" s="2" t="str">
        <f>VLOOKUP(C8,ref_jenis_pengadaan!$B$2:$C$6,2)</f>
        <v>Barang</v>
      </c>
      <c r="E8">
        <v>6</v>
      </c>
      <c r="F8">
        <v>8</v>
      </c>
      <c r="G8" s="2" t="str">
        <f>VLOOKUP(F8,ref_ba_ku_reviu_item!$B$2:$C$11,2)</f>
        <v>Reviu Rancangan Kontrak / Perjanjian</v>
      </c>
    </row>
    <row r="9" spans="2:7" x14ac:dyDescent="0.3">
      <c r="B9">
        <v>7</v>
      </c>
      <c r="C9">
        <v>1</v>
      </c>
      <c r="D9" s="2" t="str">
        <f>VLOOKUP(C9,ref_jenis_pengadaan!$B$2:$C$6,2)</f>
        <v>Barang</v>
      </c>
      <c r="E9">
        <v>7</v>
      </c>
      <c r="F9">
        <v>9</v>
      </c>
      <c r="G9" s="2" t="str">
        <f>VLOOKUP(F9,ref_ba_ku_reviu_item!$B$2:$C$11,2)</f>
        <v>Reviu Analisis Pasar</v>
      </c>
    </row>
    <row r="10" spans="2:7" x14ac:dyDescent="0.3">
      <c r="B10">
        <v>8</v>
      </c>
      <c r="C10">
        <v>2</v>
      </c>
      <c r="D10" s="2" t="str">
        <f>VLOOKUP(C10,ref_jenis_pengadaan!$B$2:$C$6,2)</f>
        <v>Konstruksi</v>
      </c>
      <c r="E10">
        <v>1</v>
      </c>
      <c r="F10">
        <v>1</v>
      </c>
      <c r="G10" s="2" t="str">
        <f>VLOOKUP(F10,ref_ba_ku_reviu_item!$B$2:$C$11,2)</f>
        <v>Reviu Dokumen Anggaran Belanja (DIPA atau RKA-U)</v>
      </c>
    </row>
    <row r="11" spans="2:7" x14ac:dyDescent="0.3">
      <c r="B11">
        <v>9</v>
      </c>
      <c r="C11">
        <v>2</v>
      </c>
      <c r="D11" s="2" t="str">
        <f>VLOOKUP(C11,ref_jenis_pengadaan!$B$2:$C$6,2)</f>
        <v>Konstruksi</v>
      </c>
      <c r="E11">
        <v>2</v>
      </c>
      <c r="F11">
        <v>2</v>
      </c>
      <c r="G11" s="2" t="str">
        <f>VLOOKUP(F11,ref_ba_ku_reviu_item!$B$2:$C$11,2)</f>
        <v>Reviu ID Paket RUP</v>
      </c>
    </row>
    <row r="12" spans="2:7" x14ac:dyDescent="0.3">
      <c r="B12">
        <v>10</v>
      </c>
      <c r="C12">
        <v>2</v>
      </c>
      <c r="D12" s="2" t="str">
        <f>VLOOKUP(C12,ref_jenis_pengadaan!$B$2:$C$6,2)</f>
        <v>Konstruksi</v>
      </c>
      <c r="E12">
        <v>3</v>
      </c>
      <c r="F12">
        <v>3</v>
      </c>
      <c r="G12" s="2" t="str">
        <f>VLOOKUP(F12,ref_ba_ku_reviu_item!$B$2:$C$11,2)</f>
        <v>Reviu Waktu Penggunaan Barang/Jasa</v>
      </c>
    </row>
    <row r="13" spans="2:7" x14ac:dyDescent="0.3">
      <c r="B13">
        <v>11</v>
      </c>
      <c r="C13">
        <v>2</v>
      </c>
      <c r="D13" s="2" t="str">
        <f>VLOOKUP(C13,ref_jenis_pengadaan!$B$2:$C$6,2)</f>
        <v>Konstruksi</v>
      </c>
      <c r="E13">
        <v>4</v>
      </c>
      <c r="F13">
        <v>6</v>
      </c>
      <c r="G13" s="2" t="str">
        <f>VLOOKUP(F13,ref_ba_ku_reviu_item!$B$2:$C$11,2)</f>
        <v>Reviu Spesifikasi Teknis dan Gambar</v>
      </c>
    </row>
    <row r="14" spans="2:7" x14ac:dyDescent="0.3">
      <c r="B14">
        <v>12</v>
      </c>
      <c r="C14">
        <v>2</v>
      </c>
      <c r="D14" s="2" t="str">
        <f>VLOOKUP(C14,ref_jenis_pengadaan!$B$2:$C$6,2)</f>
        <v>Konstruksi</v>
      </c>
      <c r="E14">
        <v>5</v>
      </c>
      <c r="F14">
        <v>7</v>
      </c>
      <c r="G14" s="2" t="str">
        <f>VLOOKUP(F14,ref_ba_ku_reviu_item!$B$2:$C$11,2)</f>
        <v>Reviu Harga Perkiraan Sendiri (HPS)</v>
      </c>
    </row>
    <row r="15" spans="2:7" x14ac:dyDescent="0.3">
      <c r="B15">
        <v>13</v>
      </c>
      <c r="C15">
        <v>2</v>
      </c>
      <c r="D15" s="2" t="str">
        <f>VLOOKUP(C15,ref_jenis_pengadaan!$B$2:$C$6,2)</f>
        <v>Konstruksi</v>
      </c>
      <c r="E15">
        <v>6</v>
      </c>
      <c r="F15">
        <v>8</v>
      </c>
      <c r="G15" s="2" t="str">
        <f>VLOOKUP(F15,ref_ba_ku_reviu_item!$B$2:$C$11,2)</f>
        <v>Reviu Rancangan Kontrak / Perjanjian</v>
      </c>
    </row>
    <row r="16" spans="2:7" x14ac:dyDescent="0.3">
      <c r="B16">
        <v>14</v>
      </c>
      <c r="C16">
        <v>2</v>
      </c>
      <c r="D16" s="2" t="str">
        <f>VLOOKUP(C16,ref_jenis_pengadaan!$B$2:$C$6,2)</f>
        <v>Konstruksi</v>
      </c>
      <c r="E16">
        <v>7</v>
      </c>
      <c r="F16">
        <v>9</v>
      </c>
      <c r="G16" s="2" t="str">
        <f>VLOOKUP(F16,ref_ba_ku_reviu_item!$B$2:$C$11,2)</f>
        <v>Reviu Analisis Pasar</v>
      </c>
    </row>
    <row r="17" spans="2:7" x14ac:dyDescent="0.3">
      <c r="B17">
        <v>15</v>
      </c>
      <c r="C17">
        <v>3</v>
      </c>
      <c r="D17" s="2" t="str">
        <f>VLOOKUP(C17,ref_jenis_pengadaan!$B$2:$C$6,2)</f>
        <v>Jasa Konsultansi</v>
      </c>
      <c r="E17">
        <v>1</v>
      </c>
      <c r="F17">
        <v>1</v>
      </c>
      <c r="G17" s="2" t="str">
        <f>VLOOKUP(F17,ref_ba_ku_reviu_item!$B$2:$C$11,2)</f>
        <v>Reviu Dokumen Anggaran Belanja (DIPA atau RKA-U)</v>
      </c>
    </row>
    <row r="18" spans="2:7" x14ac:dyDescent="0.3">
      <c r="B18">
        <v>16</v>
      </c>
      <c r="C18">
        <v>3</v>
      </c>
      <c r="D18" s="2" t="str">
        <f>VLOOKUP(C18,ref_jenis_pengadaan!$B$2:$C$6,2)</f>
        <v>Jasa Konsultansi</v>
      </c>
      <c r="E18">
        <v>2</v>
      </c>
      <c r="F18">
        <v>2</v>
      </c>
      <c r="G18" s="2" t="str">
        <f>VLOOKUP(F18,ref_ba_ku_reviu_item!$B$2:$C$11,2)</f>
        <v>Reviu ID Paket RUP</v>
      </c>
    </row>
    <row r="19" spans="2:7" x14ac:dyDescent="0.3">
      <c r="B19">
        <v>17</v>
      </c>
      <c r="C19">
        <v>3</v>
      </c>
      <c r="D19" s="2" t="str">
        <f>VLOOKUP(C19,ref_jenis_pengadaan!$B$2:$C$6,2)</f>
        <v>Jasa Konsultansi</v>
      </c>
      <c r="E19">
        <v>3</v>
      </c>
      <c r="F19">
        <v>3</v>
      </c>
      <c r="G19" s="2" t="str">
        <f>VLOOKUP(F19,ref_ba_ku_reviu_item!$B$2:$C$11,2)</f>
        <v>Reviu Waktu Penggunaan Barang/Jasa</v>
      </c>
    </row>
    <row r="20" spans="2:7" x14ac:dyDescent="0.3">
      <c r="B20">
        <v>18</v>
      </c>
      <c r="C20">
        <v>3</v>
      </c>
      <c r="D20" s="2" t="str">
        <f>VLOOKUP(C20,ref_jenis_pengadaan!$B$2:$C$6,2)</f>
        <v>Jasa Konsultansi</v>
      </c>
      <c r="E20">
        <v>4</v>
      </c>
      <c r="F20">
        <v>5</v>
      </c>
      <c r="G20" s="2" t="str">
        <f>VLOOKUP(F20,ref_ba_ku_reviu_item!$B$2:$C$11,2)</f>
        <v>Reviu KAK</v>
      </c>
    </row>
    <row r="21" spans="2:7" x14ac:dyDescent="0.3">
      <c r="B21">
        <v>19</v>
      </c>
      <c r="C21">
        <v>3</v>
      </c>
      <c r="D21" s="2" t="str">
        <f>VLOOKUP(C21,ref_jenis_pengadaan!$B$2:$C$6,2)</f>
        <v>Jasa Konsultansi</v>
      </c>
      <c r="E21">
        <v>5</v>
      </c>
      <c r="F21">
        <v>7</v>
      </c>
      <c r="G21" s="2" t="str">
        <f>VLOOKUP(F21,ref_ba_ku_reviu_item!$B$2:$C$11,2)</f>
        <v>Reviu Harga Perkiraan Sendiri (HPS)</v>
      </c>
    </row>
    <row r="22" spans="2:7" x14ac:dyDescent="0.3">
      <c r="B22">
        <v>20</v>
      </c>
      <c r="C22">
        <v>3</v>
      </c>
      <c r="D22" s="2" t="str">
        <f>VLOOKUP(C22,ref_jenis_pengadaan!$B$2:$C$6,2)</f>
        <v>Jasa Konsultansi</v>
      </c>
      <c r="E22">
        <v>6</v>
      </c>
      <c r="F22">
        <v>8</v>
      </c>
      <c r="G22" s="2" t="str">
        <f>VLOOKUP(F22,ref_ba_ku_reviu_item!$B$2:$C$11,2)</f>
        <v>Reviu Rancangan Kontrak / Perjanjian</v>
      </c>
    </row>
    <row r="23" spans="2:7" x14ac:dyDescent="0.3">
      <c r="B23">
        <v>21</v>
      </c>
      <c r="C23">
        <v>3</v>
      </c>
      <c r="D23" s="2" t="str">
        <f>VLOOKUP(C23,ref_jenis_pengadaan!$B$2:$C$6,2)</f>
        <v>Jasa Konsultansi</v>
      </c>
      <c r="E23">
        <v>7</v>
      </c>
      <c r="F23">
        <v>9</v>
      </c>
      <c r="G23" s="2" t="str">
        <f>VLOOKUP(F23,ref_ba_ku_reviu_item!$B$2:$C$11,2)</f>
        <v>Reviu Analisis Pasar</v>
      </c>
    </row>
    <row r="24" spans="2:7" x14ac:dyDescent="0.3">
      <c r="B24">
        <v>22</v>
      </c>
      <c r="C24">
        <v>4</v>
      </c>
      <c r="D24" s="2" t="str">
        <f>VLOOKUP(C24,ref_jenis_pengadaan!$B$2:$C$6,2)</f>
        <v>Jasa Lainnya</v>
      </c>
      <c r="E24">
        <v>1</v>
      </c>
      <c r="F24">
        <v>1</v>
      </c>
      <c r="G24" s="2" t="str">
        <f>VLOOKUP(F24,ref_ba_ku_reviu_item!$B$2:$C$11,2)</f>
        <v>Reviu Dokumen Anggaran Belanja (DIPA atau RKA-U)</v>
      </c>
    </row>
    <row r="25" spans="2:7" x14ac:dyDescent="0.3">
      <c r="B25">
        <v>23</v>
      </c>
      <c r="C25">
        <v>4</v>
      </c>
      <c r="D25" s="2" t="str">
        <f>VLOOKUP(C25,ref_jenis_pengadaan!$B$2:$C$6,2)</f>
        <v>Jasa Lainnya</v>
      </c>
      <c r="E25">
        <v>2</v>
      </c>
      <c r="F25">
        <v>2</v>
      </c>
      <c r="G25" s="2" t="str">
        <f>VLOOKUP(F25,ref_ba_ku_reviu_item!$B$2:$C$11,2)</f>
        <v>Reviu ID Paket RUP</v>
      </c>
    </row>
    <row r="26" spans="2:7" x14ac:dyDescent="0.3">
      <c r="B26">
        <v>24</v>
      </c>
      <c r="C26">
        <v>4</v>
      </c>
      <c r="D26" s="2" t="str">
        <f>VLOOKUP(C26,ref_jenis_pengadaan!$B$2:$C$6,2)</f>
        <v>Jasa Lainnya</v>
      </c>
      <c r="E26">
        <v>3</v>
      </c>
      <c r="F26">
        <v>3</v>
      </c>
      <c r="G26" s="2" t="str">
        <f>VLOOKUP(F26,ref_ba_ku_reviu_item!$B$2:$C$11,2)</f>
        <v>Reviu Waktu Penggunaan Barang/Jasa</v>
      </c>
    </row>
    <row r="27" spans="2:7" x14ac:dyDescent="0.3">
      <c r="B27">
        <v>25</v>
      </c>
      <c r="C27">
        <v>4</v>
      </c>
      <c r="D27" s="2" t="str">
        <f>VLOOKUP(C27,ref_jenis_pengadaan!$B$2:$C$6,2)</f>
        <v>Jasa Lainnya</v>
      </c>
      <c r="E27">
        <v>4</v>
      </c>
      <c r="F27">
        <v>4</v>
      </c>
      <c r="G27" s="2" t="str">
        <f>VLOOKUP(F27,ref_ba_ku_reviu_item!$B$2:$C$11,2)</f>
        <v>Reviu Spesifikasi Teknis</v>
      </c>
    </row>
    <row r="28" spans="2:7" x14ac:dyDescent="0.3">
      <c r="B28">
        <v>26</v>
      </c>
      <c r="C28">
        <v>4</v>
      </c>
      <c r="D28" s="2" t="str">
        <f>VLOOKUP(C28,ref_jenis_pengadaan!$B$2:$C$6,2)</f>
        <v>Jasa Lainnya</v>
      </c>
      <c r="E28">
        <v>5</v>
      </c>
      <c r="F28">
        <v>7</v>
      </c>
      <c r="G28" s="2" t="str">
        <f>VLOOKUP(F28,ref_ba_ku_reviu_item!$B$2:$C$11,2)</f>
        <v>Reviu Harga Perkiraan Sendiri (HPS)</v>
      </c>
    </row>
    <row r="29" spans="2:7" x14ac:dyDescent="0.3">
      <c r="B29">
        <v>27</v>
      </c>
      <c r="C29">
        <v>4</v>
      </c>
      <c r="D29" s="2" t="str">
        <f>VLOOKUP(C29,ref_jenis_pengadaan!$B$2:$C$6,2)</f>
        <v>Jasa Lainnya</v>
      </c>
      <c r="E29">
        <v>6</v>
      </c>
      <c r="F29">
        <v>8</v>
      </c>
      <c r="G29" s="2" t="str">
        <f>VLOOKUP(F29,ref_ba_ku_reviu_item!$B$2:$C$11,2)</f>
        <v>Reviu Rancangan Kontrak / Perjanjian</v>
      </c>
    </row>
    <row r="30" spans="2:7" x14ac:dyDescent="0.3">
      <c r="B30">
        <v>28</v>
      </c>
      <c r="C30">
        <v>4</v>
      </c>
      <c r="D30" s="2" t="str">
        <f>VLOOKUP(C30,ref_jenis_pengadaan!$B$2:$C$6,2)</f>
        <v>Jasa Lainnya</v>
      </c>
      <c r="E30">
        <v>7</v>
      </c>
      <c r="F30">
        <v>9</v>
      </c>
      <c r="G30" s="2" t="str">
        <f>VLOOKUP(F30,ref_ba_ku_reviu_item!$B$2:$C$11,2)</f>
        <v>Reviu Analisis Pasar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22CDB-4CBF-4FE8-A6E6-6A47D25F7838}">
  <dimension ref="B3:E3"/>
  <sheetViews>
    <sheetView workbookViewId="0">
      <selection activeCell="B3" sqref="B3"/>
    </sheetView>
  </sheetViews>
  <sheetFormatPr defaultRowHeight="14.4" x14ac:dyDescent="0.3"/>
  <cols>
    <col min="2" max="2" width="11.44140625" bestFit="1" customWidth="1"/>
    <col min="3" max="3" width="14.88671875" bestFit="1" customWidth="1"/>
    <col min="4" max="4" width="10.6640625" bestFit="1" customWidth="1"/>
    <col min="5" max="5" width="7.5546875" bestFit="1" customWidth="1"/>
  </cols>
  <sheetData>
    <row r="3" spans="2:5" s="1" customFormat="1" x14ac:dyDescent="0.3">
      <c r="B3" s="1" t="s">
        <v>33</v>
      </c>
      <c r="C3" s="1" t="s">
        <v>29</v>
      </c>
      <c r="D3" s="1" t="s">
        <v>30</v>
      </c>
      <c r="E3" s="1" t="s">
        <v>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4A9BA-2115-471A-870F-231B7C8056F3}">
  <dimension ref="C2:N7"/>
  <sheetViews>
    <sheetView workbookViewId="0">
      <selection activeCell="E3" sqref="E3"/>
    </sheetView>
  </sheetViews>
  <sheetFormatPr defaultRowHeight="14.4" x14ac:dyDescent="0.3"/>
  <cols>
    <col min="3" max="3" width="22" bestFit="1" customWidth="1"/>
    <col min="4" max="4" width="11.44140625" bestFit="1" customWidth="1"/>
    <col min="5" max="5" width="15.109375" bestFit="1" customWidth="1"/>
    <col min="6" max="6" width="11.88671875" bestFit="1" customWidth="1"/>
    <col min="7" max="7" width="10" bestFit="1" customWidth="1"/>
    <col min="9" max="9" width="13.88671875" bestFit="1" customWidth="1"/>
    <col min="10" max="10" width="13.88671875" customWidth="1"/>
    <col min="13" max="13" width="10.77734375" customWidth="1"/>
    <col min="14" max="14" width="14.5546875" bestFit="1" customWidth="1"/>
  </cols>
  <sheetData>
    <row r="2" spans="3:14" x14ac:dyDescent="0.3">
      <c r="M2" s="4" t="s">
        <v>4</v>
      </c>
      <c r="N2" s="4"/>
    </row>
    <row r="3" spans="3:14" s="1" customFormat="1" x14ac:dyDescent="0.3">
      <c r="C3" s="1" t="s">
        <v>32</v>
      </c>
      <c r="D3" s="1" t="s">
        <v>33</v>
      </c>
      <c r="E3" s="1" t="s">
        <v>28</v>
      </c>
      <c r="F3" s="1" t="s">
        <v>0</v>
      </c>
      <c r="G3" s="1" t="s">
        <v>1</v>
      </c>
      <c r="M3" s="1" t="s">
        <v>5</v>
      </c>
      <c r="N3" s="1" t="s">
        <v>3</v>
      </c>
    </row>
    <row r="4" spans="3:14" x14ac:dyDescent="0.3">
      <c r="E4">
        <v>1</v>
      </c>
      <c r="M4">
        <v>1</v>
      </c>
      <c r="N4" t="s">
        <v>23</v>
      </c>
    </row>
    <row r="5" spans="3:14" x14ac:dyDescent="0.3">
      <c r="M5">
        <v>2</v>
      </c>
      <c r="N5" t="s">
        <v>24</v>
      </c>
    </row>
    <row r="6" spans="3:14" x14ac:dyDescent="0.3">
      <c r="M6">
        <v>3</v>
      </c>
      <c r="N6" t="s">
        <v>25</v>
      </c>
    </row>
    <row r="7" spans="3:14" x14ac:dyDescent="0.3">
      <c r="M7">
        <v>4</v>
      </c>
      <c r="N7" t="s">
        <v>26</v>
      </c>
    </row>
  </sheetData>
  <mergeCells count="1">
    <mergeCell ref="M2:N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4B9F4-402A-46E2-BBFB-519B6D9CCDF5}">
  <dimension ref="B2:F2"/>
  <sheetViews>
    <sheetView tabSelected="1" workbookViewId="0">
      <selection activeCell="E3" sqref="E3"/>
    </sheetView>
  </sheetViews>
  <sheetFormatPr defaultRowHeight="14.4" x14ac:dyDescent="0.3"/>
  <cols>
    <col min="2" max="2" width="17.33203125" bestFit="1" customWidth="1"/>
    <col min="3" max="4" width="17.33203125" customWidth="1"/>
    <col min="5" max="5" width="11" bestFit="1" customWidth="1"/>
    <col min="6" max="6" width="6.109375" bestFit="1" customWidth="1"/>
  </cols>
  <sheetData>
    <row r="2" spans="2:6" x14ac:dyDescent="0.3">
      <c r="B2" s="1" t="s">
        <v>34</v>
      </c>
      <c r="C2" s="1" t="s">
        <v>33</v>
      </c>
      <c r="D2" s="1" t="s">
        <v>28</v>
      </c>
      <c r="E2" s="1" t="s">
        <v>2</v>
      </c>
      <c r="F2" s="1" t="s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ref_jenis_pengadaan</vt:lpstr>
      <vt:lpstr>ref_ba_ku_reviu_item</vt:lpstr>
      <vt:lpstr>ref_ba_ku_reviu_step</vt:lpstr>
      <vt:lpstr>trx_ba_kaji_ulang</vt:lpstr>
      <vt:lpstr>trx_ba_ku_rekomen_tanggap</vt:lpstr>
      <vt:lpstr>trx_ba_ku_tanya_jawab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Rafli Alfazri</dc:creator>
  <cp:lastModifiedBy>Rafli Alfazri</cp:lastModifiedBy>
  <dcterms:created xsi:type="dcterms:W3CDTF">2025-07-26T21:16:39Z</dcterms:created>
  <dcterms:modified xsi:type="dcterms:W3CDTF">2025-07-28T08:36:35Z</dcterms:modified>
</cp:coreProperties>
</file>