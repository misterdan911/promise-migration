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D:\Danu\repo\golang\promise-migration\files\siqut\"/>
    </mc:Choice>
  </mc:AlternateContent>
  <xr:revisionPtr revIDLastSave="0" documentId="13_ncr:1_{80A43EC4-005C-4426-AC0C-509BA7FE4B21}" xr6:coauthVersionLast="45" xr6:coauthVersionMax="45" xr10:uidLastSave="{00000000-0000-0000-0000-000000000000}"/>
  <bookViews>
    <workbookView xWindow="-108" yWindow="-108" windowWidth="23256" windowHeight="12456" tabRatio="711" firstSheet="4" activeTab="6" xr2:uid="{1CC67A06-2E95-4BA1-9300-FFED1E496959}"/>
  </bookViews>
  <sheets>
    <sheet name="ref_jenis_pengadaan" sheetId="4" r:id="rId1"/>
    <sheet name="ref_reviu_item_ku" sheetId="3" r:id="rId2"/>
    <sheet name="ref_item_tanya_ku" sheetId="8" r:id="rId3"/>
    <sheet name="trx_reviu_item_item_tanya" sheetId="9" r:id="rId4"/>
    <sheet name="ref_multiple_choice_ku" sheetId="7" r:id="rId5"/>
    <sheet name="trx_jenis_pengadaan_reviu_item" sheetId="2" r:id="rId6"/>
    <sheet name="trx_tanya_jawab_ku" sheetId="6" r:id="rId7"/>
    <sheet name="trx_rekomen_tanggap_ku" sheetId="1"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10" i="9" l="1"/>
  <c r="F11" i="9"/>
  <c r="D11" i="9"/>
  <c r="D10" i="9"/>
  <c r="F6" i="9"/>
  <c r="F7" i="9"/>
  <c r="F8" i="9"/>
  <c r="F9" i="9"/>
  <c r="F5" i="9"/>
  <c r="D8" i="9"/>
  <c r="D9" i="9"/>
  <c r="D6" i="9"/>
  <c r="D7" i="9"/>
  <c r="D5" i="9"/>
  <c r="G4" i="6"/>
  <c r="G3" i="6"/>
  <c r="E4" i="6"/>
  <c r="E3" i="6"/>
  <c r="G29" i="2" l="1"/>
  <c r="G26" i="2"/>
  <c r="G27" i="2"/>
  <c r="G28" i="2"/>
  <c r="G30" i="2"/>
  <c r="G31" i="2"/>
  <c r="G32" i="2"/>
  <c r="D26" i="2"/>
  <c r="D27" i="2"/>
  <c r="D28" i="2"/>
  <c r="D29" i="2"/>
  <c r="D30" i="2"/>
  <c r="D31" i="2"/>
  <c r="D32" i="2"/>
  <c r="G19" i="2"/>
  <c r="G20" i="2"/>
  <c r="G21" i="2"/>
  <c r="G22" i="2"/>
  <c r="G23" i="2"/>
  <c r="G24" i="2"/>
  <c r="G25" i="2"/>
  <c r="D19" i="2"/>
  <c r="D20" i="2"/>
  <c r="D21" i="2"/>
  <c r="D22" i="2"/>
  <c r="D23" i="2"/>
  <c r="D24" i="2"/>
  <c r="D25" i="2"/>
  <c r="G6" i="2"/>
  <c r="G7" i="2"/>
  <c r="G8" i="2"/>
  <c r="G9" i="2"/>
  <c r="G10" i="2"/>
  <c r="G11" i="2"/>
  <c r="G12" i="2"/>
  <c r="G13" i="2"/>
  <c r="G14" i="2"/>
  <c r="G15" i="2"/>
  <c r="G16" i="2"/>
  <c r="G17" i="2"/>
  <c r="G18" i="2"/>
  <c r="G5" i="2"/>
  <c r="D6" i="2"/>
  <c r="D7" i="2"/>
  <c r="D8" i="2"/>
  <c r="D9" i="2"/>
  <c r="D10" i="2"/>
  <c r="D11" i="2"/>
  <c r="D12" i="2"/>
  <c r="D13" i="2"/>
  <c r="D14" i="2"/>
  <c r="D15" i="2"/>
  <c r="D16" i="2"/>
  <c r="D17" i="2"/>
  <c r="D18" i="2"/>
  <c r="D5" i="2"/>
</calcChain>
</file>

<file path=xl/sharedStrings.xml><?xml version="1.0" encoding="utf-8"?>
<sst xmlns="http://schemas.openxmlformats.org/spreadsheetml/2006/main" count="90" uniqueCount="79">
  <si>
    <t>rekomendasi</t>
  </si>
  <si>
    <t>tanggapan</t>
  </si>
  <si>
    <t>jawab</t>
  </si>
  <si>
    <t>kode_mc</t>
  </si>
  <si>
    <t>keterangan</t>
  </si>
  <si>
    <t>kode_jenis_pengadaan</t>
  </si>
  <si>
    <t>Reviu Dokumen Anggaran Belanja (DIPA atau RKA-U)</t>
  </si>
  <si>
    <t>Reviu ID Paket RUP</t>
  </si>
  <si>
    <t>Reviu Waktu Penggunaan Barang/Jasa</t>
  </si>
  <si>
    <t>Reviu Spesifikasi Teknis</t>
  </si>
  <si>
    <t>Reviu KAK</t>
  </si>
  <si>
    <t>Reviu Spesifikasi Teknis dan Gambar</t>
  </si>
  <si>
    <t>Reviu Harga Perkiraan Sendiri (HPS)</t>
  </si>
  <si>
    <t>Reviu Rancangan Kontrak / Perjanjian</t>
  </si>
  <si>
    <t>Reviu Analisis Pasar</t>
  </si>
  <si>
    <t>jenis_pengadaan</t>
  </si>
  <si>
    <t>Barang</t>
  </si>
  <si>
    <t>Konstruksi</t>
  </si>
  <si>
    <t>Jasa Konsultansi</t>
  </si>
  <si>
    <t>Jasa Lainnya</t>
  </si>
  <si>
    <t>Ya</t>
  </si>
  <si>
    <t>Tidak</t>
  </si>
  <si>
    <t>Memenuhi</t>
  </si>
  <si>
    <t>Tidak Memenuhi</t>
  </si>
  <si>
    <t>kode_reviu_item</t>
  </si>
  <si>
    <t>kode_rekomen_tanggap</t>
  </si>
  <si>
    <t>kode_tanya_jawab</t>
  </si>
  <si>
    <t>kode_item_tanya</t>
  </si>
  <si>
    <t>item_tanya</t>
  </si>
  <si>
    <t>order</t>
  </si>
  <si>
    <t>Apakah Pemaketan Pengadaan Barang/Jasa yang dilakukan sudah berorientasi pada:
a. keluaran atau hasil;
b. volume barang/jasa;
c. ketersediaan barang/jasa;
Peraturan Rektor Nomor : 196 Tahun 2021</t>
  </si>
  <si>
    <t>Pemaketan sudah sesuai</t>
  </si>
  <si>
    <t>Bagaimana kepastian ketersediaan anggaran ?</t>
  </si>
  <si>
    <t>Reviu Dokumen Anggaran Belanja (DIPA/DPA atau RKA-KL/RKAPD yang telah ditetapkan) untuk memastikan bahwa anggaran untuk pekerjaan yang akan dilaksanakan telah tersedia dan jumlahnya cukup.</t>
  </si>
  <si>
    <t>Reviu ID paket RUP untuk memastikan bahwa paket yang akan dilaksanakan telah terdaftar dan diumumkan dalam SI-PPAN.</t>
  </si>
  <si>
    <t>Reviu waktu penggunaan barang/jasa untuk memastikan bahwa pelaksanaan Pengadaan Barang/Jasa sejak proses persiapan, pemilihan, dan pelaksanaan kontrak dapat selesai sesuai rencana penggunaan/pemanfaatan barang/jasa.</t>
  </si>
  <si>
    <t>Reviu spesifikasi teknis/KAK untuk memastikan bahwa spesifikasi teknis/KAK telah dituangkan secara lengkap agar peserta pemilihan dapat memahami spesifikasi teknis/KAK dan merespon untuk menyusun penawaran dengan baik. Spesifikasi teknis/KAK harus didefinisikan dengan jelas dan tidak mengarah kepada produk atau merek tertentu kecuali dimungkinkan sebagaimana diatur dalam Pasal 19 ayat (2) Peraturan Presiden Nomor 12 Tahun 2021 tentang Pengadaan Barang/Jasa Pemerintah.</t>
  </si>
  <si>
    <t>Reviu HPS untuk memastikan bahwa nilai HPS telah cukup dan sesuai dengan spesifikasi teknis/KAK dan ruang lingkup pekerjaan. Reviu HPS dapat dilakukan menggunakan perkiraan biaya/RAB yang telah disusun pada tahap perencanaan pengadaan, data/informasi pasar terkini, dan dengan cara membandingkan pekerjaan yang sama pada paket yang berbeda atau memeriksa apakah komponen/unsur pembayaran pada uraian pekerjaan telah sesuai dengan spesifikasi teknis/KAK dan ruang lingkup pekerjaan. Pokja Pemilihan juga dapat mereviu apakah HPS sudah memperhitungkan kewajiban perpajakan atau biaya lain yang dipersyaratkan dalam pelaksanaan pekerjaan.</t>
  </si>
  <si>
    <t>Reviu Rancangan Kontrak untuk memastikan bahwa draft kontrak telah sesuai dengan ruang lingkup pekerjaan. Reviu rancangan kontrak memperhatikan:  
1)	Naskah Perjanjian;
2)	Syarat-syarat Umum Kontrak;
3)	Syarat-syarat Khusus Kontrak;
4)	Ketentuan Jaminan Pengadaan;
5)	Ketentuan Sertifikat Garansi;
6)	Ketentuan Sertifikat/Dokumen Pemilihan dalam rangka Pengadaan Barang Impor (hanya untuk barang impor); dan/atau 
7)	Ketentuan Penyesuaian Harga.</t>
  </si>
  <si>
    <t>Berdasarkan dokumen persiapan pengadaan yang diserahkan oleh PPK, Pokja Pemilihan melakukan analisis pasar untuk mengetahui kemungkinan ketersediaan barang/jasa dan Pelaku Usaha dalam negeri yang mampu dan memenuhi persyaratan untuk melaksanakan pekerjaan. Hasil analisis pasar digunakan untuk menentukan metode kualifikasi dan/atau metode pemilihanPenyedia.</t>
  </si>
  <si>
    <t>Kerangka Acuan Kerja untuk pengadaan Pekerjaan Jasa Konsultan meliputi:
a.	Uraian pekerjaan yang akan dilaksanakan;
b.	Waktu dan tahapan pelaksanaan yang diperlukan untuk menyelesaikan pekerjaan dengan memperhatikan batas akhir efektif tahun anggaran;
c.	Kompetensi dan jumlah kebutuhan tenaga ahli;
d.	Kemampuan badan usaha Penyedia jasa Konsultansi Konstruksi;
e.	Sumber pendanaan dan besarnya total perkiraan biaya pekerjaan.
(Pasal 19 Peraturan Menteri Pekerjaan Umum Dan Perumahan Rakyat Republik Indonesia Nomor 07/PRT/M/2019 Tentang Standar Dan Pedoman Pengadaan Jasa Konstruksi Melalui Penyedia)</t>
  </si>
  <si>
    <t>Spesifikasi teknis untuk pengadaan Pekerjaan Konstruksi meliputi:
a.	spesifikasi bahan bangunan konstruksi;
b.	spesifikasi peralatan konstruksi dan peralatan bangunan;
c.	spesifikasi proses/kegiatan;
d.	spesifikasi metode konstruksi/metode pelaksanaan/metode kerja; dan
e.	spesifikasi jabatan kerja konstruksi.
(Pasal 19 Peraturan Menteri Pekerjaan Umum Dan Perumahan Rakyat Republik Indonesia Nomor 07/PRT/M/2019 Tentang Standar Dan Pedoman Pengadaan Jasa Konstruksi Melalui Penyedia)</t>
  </si>
  <si>
    <t>is_aktif</t>
  </si>
  <si>
    <t>kode_trx</t>
  </si>
  <si>
    <t>Ket: Untuk memasangkan jenis_pengadaan dengan reviu_item, karena reviu_item untuk tiap jenis_pengadaan bisa berbeda beda</t>
  </si>
  <si>
    <t>Bersumber dari manakah pagu dalam pelaksanaan kegiatan ini? (DIPA BLU / RM)
Sumber: RKA-KL DIPA Universitas Terbuka</t>
  </si>
  <si>
    <t>Apakah paket RUP yang akan dilaksanakan telah terdaftar dalam SI-PPAN?</t>
  </si>
  <si>
    <t>Apakah waktu dalam pelaksanaan pekerjaan ini, sudah mencukupi sampai dengan serah terima pekerjaan?
(Satuan waktu yang dimaksud, adalah hari kalender atau kerja)</t>
  </si>
  <si>
    <t>Apakah PPK akan memberikan kebijakan tertentu atau memberikan toleransi kepada penyedia dalam alokasi waktu?</t>
  </si>
  <si>
    <t>Apakah spesifikasi teknis sudah disinkronkan dengan dokumen Perencanaan Pengadaan dan Anggaran?</t>
  </si>
  <si>
    <t>Untuk menetapkan spesifikasi, sumber informasi apa yang dipergunakan PPK dalam menetapkan spesifikasi tersebut?</t>
  </si>
  <si>
    <t>Apakah melibatkan Tenaga Ahli/Tim Teknis atau pihak lain dalam menyusun spesifikasi? Sudahkan dilakukan pembahasan dengan penyusun?</t>
  </si>
  <si>
    <t>Apakah spesifikasi yang ditetapkan sudah menjelaskan pemenuhan elemen spesifikasi dari aspek kualitas / mutu yang harus dipenuhi penyedia?</t>
  </si>
  <si>
    <t>Apakah spesifikasi yang ditetapkan sudah menjelaskan pemenuhan elemen spesifikasi dari aspek kuantitas / jumlah yang harus dipenuhi penyedia?</t>
  </si>
  <si>
    <t>Apakah spesifikasi yang ditetapkan sudah menjelaskan pemenuhan elemen spesifikasi dari aspek waktu yang harus dipenuhi penyedia?</t>
  </si>
  <si>
    <t>Apakah spesifikasi yang ditetapkan sudah menjelaskan pemenuhan elemen spesifikasi dari aspek tempat yang harus dipenuhi penyedia?</t>
  </si>
  <si>
    <t>Apakah dalam menentukan spesifikasi, PPK menentukan tingkat layanan yang harus diselesaikan oleh penyedia? (Misalnya, dalam pengadaan barang, penyedia memberikan pelatihan mengoperasikan alat).</t>
  </si>
  <si>
    <t>Dalam penyusunan spesifikasi teknis 
apakah PPK-PBJ sudah memperhatikan beberapa ketentuan sebagai berikut: 
a.	menggunakan produk dalam negeri;
b.	menggunakan produk bersertifikat SNI; dan 
c.	memaksimalkan penggunaan produk industri hijau.
Pasal 19 ayat 1) Perpres No. 16 Tahun 2018 dan perpres 12 tahun 2021</t>
  </si>
  <si>
    <t>Apakah sudah dilakukan penelaahan hal-hal yang berpotensi diskriminatif dalam spesifikasi atau persyaratan?</t>
  </si>
  <si>
    <t>Apakah spesifikasi didukung dengan persyaratan ISO / Standar Manajemen Mutu dan telah dilakukan pembahasan? 
(bila diperlukan)</t>
  </si>
  <si>
    <t>Apakah Harga Perkiraan Sendiri (HPS) sudah sesuai  dengan  Pagu Anggaran?</t>
  </si>
  <si>
    <t>Sumber-sumber informasi manakah  yang digunakan PPK dalam menetapkan HPS?</t>
  </si>
  <si>
    <t xml:space="preserve">Apakah terdapat perhitungan khusus (kalkulasi) dalam menetapkan nilai HPS? </t>
  </si>
  <si>
    <t>Apakah HPS sudah memperhitungkan perpajakan?</t>
  </si>
  <si>
    <t>Apakah masa penetapan HPS telah memenuhi ketentuan pengadaan? (Masa penetapan HPS adalah, 28 (dua puluh delapan) hari kerja.</t>
  </si>
  <si>
    <t>Apakah PPK sudah melakukan pengarsipan dan/atau  mendokumentasikan dalam  penyusunan HPS ini?</t>
  </si>
  <si>
    <t>Pedoman atau Dasar Hukum apa yang PPK dipergunakan dalam membuat “draft” rancangan kontrak/Surat Perjanjian?</t>
  </si>
  <si>
    <t>Apakah jenis kontrak (rancangan kontrak) yang dipergunakan sudah sesuai dengan karakteristik pengadaan di Universitas Terbuka?</t>
  </si>
  <si>
    <t>Apakah rancangan kontrak/perjanjian yang dibuat PPK  sudah sesuai  dengan nilai pengadaan?</t>
  </si>
  <si>
    <t>Apakah klausul-klausul dalam rancangan kontrak sudah sesuai dengan spesifikasi teknis (seperti sesuai dengan Syarat-Syarat Khusus Kontrak/SSUK terhadap spesifikasi) ?</t>
  </si>
  <si>
    <t>Apakah dalam membuat rancangan kontrak/draft surat perjanjian sudah representative/ideal untuk menjadi bagian dalam dokumen pengadaan?</t>
  </si>
  <si>
    <t>Apakah dalam klausul-klausul yang harus diisi dalam rancangan kontrak/ draft surat perjanjian telah terpenuhi, unsur-unsur, di antaranya: 
a.	Jenis Kontrak yang dipergunakan.
b.	Jangka waktu pelaksanaan pekerjaan dan pemeliharaan (garansi)
c.	Proses Pembayaran (Termin, Sekaligus, dll)
d.	Pengenaan sanksi terhadap penyedia (sesuai dengan peraturan perundang-undangan yang berlaku dan Peraturan Rektor BLU tentang Pedoman Pengadaan Barang/Jasa).
e.	Penyelesaian Perselisihan/Penanganan Permasalahan Hukum jika terjadi sengketa kontrak; (Mediasi, Konsiliasi, Arbitrasi, dll)</t>
  </si>
  <si>
    <t>Bagaimana ketersediaan penyedia di DPT?</t>
  </si>
  <si>
    <t>Apakah ada  "persyaratan khusus" bagi penyedia untuk mengikuti pekerjaan ini?</t>
  </si>
  <si>
    <t>Ket: Untuk memasangkan reviu_item dengan item_tanya, karena tiap reviu_item punya item_tanya masing2</t>
  </si>
  <si>
    <t>Apakah pengisian sudah benar?</t>
  </si>
  <si>
    <t>reviu_item</t>
  </si>
  <si>
    <t>jawaban</t>
  </si>
  <si>
    <t>kode_ku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</si>
</sst>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0" tint="-0.34998626667073579"/>
      <name val="Calibri"/>
      <family val="2"/>
      <scheme val="minor"/>
    </font>
    <font>
      <b/>
      <sz val="11"/>
      <color theme="0" tint="-0.34998626667073579"/>
      <name val="Calibri"/>
      <family val="2"/>
      <scheme val="minor"/>
    </font>
    <font>
      <sz val="11"/>
      <color theme="0" tint="-0.249977111117893"/>
      <name val="Calibri"/>
      <family val="2"/>
      <scheme val="minor"/>
    </font>
    <font>
      <b/>
      <sz val="11"/>
      <color theme="0" tint="-0.24997711111789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xf numFmtId="0" fontId="0" fillId="0" borderId="0" xfId="0" applyAlignment="1">
      <alignment horizontal="center" vertical="center"/>
    </xf>
    <xf numFmtId="0" fontId="0" fillId="0" borderId="0" xfId="0" applyAlignment="1">
      <alignment horizontal="left"/>
    </xf>
    <xf numFmtId="0" fontId="0" fillId="0" borderId="0" xfId="0" applyAlignment="1">
      <alignment horizontal="left"/>
    </xf>
    <xf numFmtId="0" fontId="4" fillId="0" borderId="0" xfId="0" applyFont="1" applyAlignment="1">
      <alignment horizontal="left"/>
    </xf>
    <xf numFmtId="0" fontId="5"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5BFC9-9B81-42E4-9A36-25D0759F219C}">
  <dimension ref="B2:C6"/>
  <sheetViews>
    <sheetView workbookViewId="0">
      <selection activeCell="F12" sqref="F12"/>
    </sheetView>
  </sheetViews>
  <sheetFormatPr defaultRowHeight="14.4" x14ac:dyDescent="0.3"/>
  <cols>
    <col min="2" max="2" width="20.77734375" bestFit="1" customWidth="1"/>
    <col min="3" max="3" width="14.6640625" bestFit="1" customWidth="1"/>
  </cols>
  <sheetData>
    <row r="2" spans="2:3" s="1" customFormat="1" x14ac:dyDescent="0.3">
      <c r="B2" s="1" t="s">
        <v>5</v>
      </c>
      <c r="C2" s="1" t="s">
        <v>15</v>
      </c>
    </row>
    <row r="3" spans="2:3" x14ac:dyDescent="0.3">
      <c r="B3">
        <v>1</v>
      </c>
      <c r="C3" t="s">
        <v>16</v>
      </c>
    </row>
    <row r="4" spans="2:3" x14ac:dyDescent="0.3">
      <c r="B4">
        <v>2</v>
      </c>
      <c r="C4" t="s">
        <v>17</v>
      </c>
    </row>
    <row r="5" spans="2:3" x14ac:dyDescent="0.3">
      <c r="B5">
        <v>3</v>
      </c>
      <c r="C5" t="s">
        <v>18</v>
      </c>
    </row>
    <row r="6" spans="2:3" x14ac:dyDescent="0.3">
      <c r="B6">
        <v>4</v>
      </c>
      <c r="C6"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E6F9E-96EC-4B5C-B5C6-BBEE35A212B6}">
  <dimension ref="B2:E11"/>
  <sheetViews>
    <sheetView workbookViewId="0">
      <selection activeCell="C2" sqref="C2"/>
    </sheetView>
  </sheetViews>
  <sheetFormatPr defaultRowHeight="14.4" x14ac:dyDescent="0.3"/>
  <cols>
    <col min="2" max="2" width="15.21875" customWidth="1"/>
    <col min="3" max="3" width="44.21875" bestFit="1" customWidth="1"/>
    <col min="4" max="4" width="73.44140625" customWidth="1"/>
  </cols>
  <sheetData>
    <row r="2" spans="2:5" s="1" customFormat="1" x14ac:dyDescent="0.3">
      <c r="B2" s="1" t="s">
        <v>24</v>
      </c>
      <c r="C2" s="1" t="s">
        <v>76</v>
      </c>
      <c r="D2" s="1" t="s">
        <v>4</v>
      </c>
      <c r="E2" s="1" t="s">
        <v>42</v>
      </c>
    </row>
    <row r="3" spans="2:5" ht="43.2" x14ac:dyDescent="0.3">
      <c r="B3">
        <v>1</v>
      </c>
      <c r="C3" t="s">
        <v>6</v>
      </c>
      <c r="D3" s="4" t="s">
        <v>33</v>
      </c>
    </row>
    <row r="4" spans="2:5" ht="28.8" x14ac:dyDescent="0.3">
      <c r="B4">
        <v>2</v>
      </c>
      <c r="C4" t="s">
        <v>7</v>
      </c>
      <c r="D4" s="4" t="s">
        <v>34</v>
      </c>
    </row>
    <row r="5" spans="2:5" ht="43.2" x14ac:dyDescent="0.3">
      <c r="B5">
        <v>3</v>
      </c>
      <c r="C5" t="s">
        <v>8</v>
      </c>
      <c r="D5" s="4" t="s">
        <v>35</v>
      </c>
    </row>
    <row r="6" spans="2:5" ht="86.4" x14ac:dyDescent="0.3">
      <c r="B6">
        <v>4</v>
      </c>
      <c r="C6" t="s">
        <v>9</v>
      </c>
      <c r="D6" s="4" t="s">
        <v>36</v>
      </c>
    </row>
    <row r="7" spans="2:5" ht="144" x14ac:dyDescent="0.3">
      <c r="B7">
        <v>5</v>
      </c>
      <c r="C7" t="s">
        <v>10</v>
      </c>
      <c r="D7" s="4" t="s">
        <v>40</v>
      </c>
    </row>
    <row r="8" spans="2:5" ht="129.6" x14ac:dyDescent="0.3">
      <c r="B8">
        <v>6</v>
      </c>
      <c r="C8" t="s">
        <v>11</v>
      </c>
      <c r="D8" s="4" t="s">
        <v>41</v>
      </c>
    </row>
    <row r="9" spans="2:5" ht="129.6" x14ac:dyDescent="0.3">
      <c r="B9">
        <v>7</v>
      </c>
      <c r="C9" t="s">
        <v>12</v>
      </c>
      <c r="D9" s="4" t="s">
        <v>37</v>
      </c>
    </row>
    <row r="10" spans="2:5" ht="144" x14ac:dyDescent="0.3">
      <c r="B10">
        <v>8</v>
      </c>
      <c r="C10" t="s">
        <v>13</v>
      </c>
      <c r="D10" s="4" t="s">
        <v>38</v>
      </c>
    </row>
    <row r="11" spans="2:5" ht="72" x14ac:dyDescent="0.3">
      <c r="B11">
        <v>9</v>
      </c>
      <c r="C11" t="s">
        <v>14</v>
      </c>
      <c r="D11" s="4" t="s">
        <v>39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776BE-FD22-4009-A8B9-CAE6A20522D6}">
  <dimension ref="B2:D34"/>
  <sheetViews>
    <sheetView workbookViewId="0">
      <selection activeCell="B2" sqref="B2:D2"/>
    </sheetView>
  </sheetViews>
  <sheetFormatPr defaultRowHeight="14.4" x14ac:dyDescent="0.3"/>
  <cols>
    <col min="2" max="2" width="15.88671875" bestFit="1" customWidth="1"/>
    <col min="3" max="3" width="89.33203125" customWidth="1"/>
  </cols>
  <sheetData>
    <row r="2" spans="2:4" s="1" customFormat="1" x14ac:dyDescent="0.3">
      <c r="B2" s="1" t="s">
        <v>27</v>
      </c>
      <c r="C2" s="1" t="s">
        <v>28</v>
      </c>
      <c r="D2" s="1" t="s">
        <v>42</v>
      </c>
    </row>
    <row r="3" spans="2:4" ht="72" x14ac:dyDescent="0.3">
      <c r="B3" s="5">
        <v>1</v>
      </c>
      <c r="C3" s="4" t="s">
        <v>30</v>
      </c>
    </row>
    <row r="4" spans="2:4" x14ac:dyDescent="0.3">
      <c r="B4" s="5">
        <v>2</v>
      </c>
      <c r="C4" t="s">
        <v>32</v>
      </c>
    </row>
    <row r="5" spans="2:4" ht="43.2" x14ac:dyDescent="0.3">
      <c r="B5" s="5">
        <v>3</v>
      </c>
      <c r="C5" s="4" t="s">
        <v>45</v>
      </c>
    </row>
    <row r="6" spans="2:4" x14ac:dyDescent="0.3">
      <c r="B6" s="5">
        <v>4</v>
      </c>
      <c r="C6" s="4" t="s">
        <v>46</v>
      </c>
    </row>
    <row r="7" spans="2:4" x14ac:dyDescent="0.3">
      <c r="B7" s="5">
        <v>5</v>
      </c>
      <c r="C7" s="4" t="s">
        <v>75</v>
      </c>
    </row>
    <row r="8" spans="2:4" ht="28.8" x14ac:dyDescent="0.3">
      <c r="B8" s="5">
        <v>6</v>
      </c>
      <c r="C8" s="4" t="s">
        <v>47</v>
      </c>
    </row>
    <row r="9" spans="2:4" ht="28.8" x14ac:dyDescent="0.3">
      <c r="B9" s="5">
        <v>7</v>
      </c>
      <c r="C9" s="4" t="s">
        <v>48</v>
      </c>
    </row>
    <row r="10" spans="2:4" x14ac:dyDescent="0.3">
      <c r="B10" s="5">
        <v>8</v>
      </c>
      <c r="C10" s="4" t="s">
        <v>49</v>
      </c>
    </row>
    <row r="11" spans="2:4" ht="86.4" x14ac:dyDescent="0.3">
      <c r="B11" s="5">
        <v>9</v>
      </c>
      <c r="C11" s="4" t="s">
        <v>57</v>
      </c>
    </row>
    <row r="12" spans="2:4" x14ac:dyDescent="0.3">
      <c r="B12" s="5">
        <v>10</v>
      </c>
      <c r="C12" t="s">
        <v>50</v>
      </c>
    </row>
    <row r="13" spans="2:4" x14ac:dyDescent="0.3">
      <c r="B13" s="5">
        <v>11</v>
      </c>
      <c r="C13" t="s">
        <v>51</v>
      </c>
    </row>
    <row r="14" spans="2:4" x14ac:dyDescent="0.3">
      <c r="B14" s="5">
        <v>12</v>
      </c>
      <c r="C14" t="s">
        <v>52</v>
      </c>
    </row>
    <row r="15" spans="2:4" x14ac:dyDescent="0.3">
      <c r="B15" s="5">
        <v>13</v>
      </c>
      <c r="C15" t="s">
        <v>53</v>
      </c>
    </row>
    <row r="16" spans="2:4" x14ac:dyDescent="0.3">
      <c r="B16" s="5">
        <v>14</v>
      </c>
      <c r="C16" t="s">
        <v>54</v>
      </c>
    </row>
    <row r="17" spans="2:3" x14ac:dyDescent="0.3">
      <c r="B17" s="5">
        <v>15</v>
      </c>
      <c r="C17" t="s">
        <v>55</v>
      </c>
    </row>
    <row r="18" spans="2:3" x14ac:dyDescent="0.3">
      <c r="B18" s="5">
        <v>16</v>
      </c>
      <c r="C18" t="s">
        <v>56</v>
      </c>
    </row>
    <row r="19" spans="2:3" x14ac:dyDescent="0.3">
      <c r="B19" s="5">
        <v>17</v>
      </c>
      <c r="C19" t="s">
        <v>58</v>
      </c>
    </row>
    <row r="20" spans="2:3" ht="43.2" x14ac:dyDescent="0.3">
      <c r="B20" s="5">
        <v>18</v>
      </c>
      <c r="C20" s="4" t="s">
        <v>59</v>
      </c>
    </row>
    <row r="21" spans="2:3" x14ac:dyDescent="0.3">
      <c r="B21" s="5">
        <v>19</v>
      </c>
      <c r="C21" t="s">
        <v>60</v>
      </c>
    </row>
    <row r="22" spans="2:3" x14ac:dyDescent="0.3">
      <c r="B22" s="5">
        <v>20</v>
      </c>
      <c r="C22" t="s">
        <v>61</v>
      </c>
    </row>
    <row r="23" spans="2:3" x14ac:dyDescent="0.3">
      <c r="B23" s="5">
        <v>21</v>
      </c>
      <c r="C23" t="s">
        <v>62</v>
      </c>
    </row>
    <row r="24" spans="2:3" x14ac:dyDescent="0.3">
      <c r="B24" s="5">
        <v>22</v>
      </c>
      <c r="C24" t="s">
        <v>63</v>
      </c>
    </row>
    <row r="25" spans="2:3" x14ac:dyDescent="0.3">
      <c r="B25" s="5">
        <v>23</v>
      </c>
      <c r="C25" t="s">
        <v>64</v>
      </c>
    </row>
    <row r="26" spans="2:3" x14ac:dyDescent="0.3">
      <c r="B26" s="5">
        <v>24</v>
      </c>
      <c r="C26" t="s">
        <v>65</v>
      </c>
    </row>
    <row r="27" spans="2:3" x14ac:dyDescent="0.3">
      <c r="B27" s="5">
        <v>25</v>
      </c>
      <c r="C27" t="s">
        <v>66</v>
      </c>
    </row>
    <row r="28" spans="2:3" x14ac:dyDescent="0.3">
      <c r="B28" s="5">
        <v>26</v>
      </c>
      <c r="C28" t="s">
        <v>67</v>
      </c>
    </row>
    <row r="29" spans="2:3" x14ac:dyDescent="0.3">
      <c r="B29" s="5">
        <v>27</v>
      </c>
      <c r="C29" t="s">
        <v>68</v>
      </c>
    </row>
    <row r="30" spans="2:3" ht="129.6" x14ac:dyDescent="0.3">
      <c r="B30" s="5">
        <v>28</v>
      </c>
      <c r="C30" s="4" t="s">
        <v>71</v>
      </c>
    </row>
    <row r="31" spans="2:3" x14ac:dyDescent="0.3">
      <c r="B31" s="5">
        <v>29</v>
      </c>
      <c r="C31" t="s">
        <v>69</v>
      </c>
    </row>
    <row r="32" spans="2:3" x14ac:dyDescent="0.3">
      <c r="B32" s="5">
        <v>30</v>
      </c>
      <c r="C32" t="s">
        <v>70</v>
      </c>
    </row>
    <row r="33" spans="2:3" x14ac:dyDescent="0.3">
      <c r="B33" s="5">
        <v>31</v>
      </c>
      <c r="C33" t="s">
        <v>72</v>
      </c>
    </row>
    <row r="34" spans="2:3" x14ac:dyDescent="0.3">
      <c r="B34" s="5">
        <v>32</v>
      </c>
      <c r="C34" t="s">
        <v>73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CE861-5570-498F-AC25-F59571A6A180}">
  <dimension ref="B2:I11"/>
  <sheetViews>
    <sheetView workbookViewId="0">
      <selection activeCell="B2" sqref="B2"/>
    </sheetView>
  </sheetViews>
  <sheetFormatPr defaultRowHeight="14.4" x14ac:dyDescent="0.3"/>
  <cols>
    <col min="2" max="2" width="8.44140625" bestFit="1" customWidth="1"/>
    <col min="3" max="3" width="15.33203125" bestFit="1" customWidth="1"/>
    <col min="4" max="4" width="44.21875" style="10" bestFit="1" customWidth="1"/>
    <col min="5" max="5" width="15.88671875" bestFit="1" customWidth="1"/>
    <col min="6" max="6" width="27.44140625" style="10" customWidth="1"/>
  </cols>
  <sheetData>
    <row r="2" spans="2:9" x14ac:dyDescent="0.3">
      <c r="B2" s="7" t="s">
        <v>74</v>
      </c>
      <c r="C2" s="7"/>
      <c r="D2" s="8"/>
      <c r="E2" s="7"/>
      <c r="F2" s="8"/>
    </row>
    <row r="4" spans="2:9" s="1" customFormat="1" x14ac:dyDescent="0.3">
      <c r="B4" s="1" t="s">
        <v>43</v>
      </c>
      <c r="C4" s="1" t="s">
        <v>24</v>
      </c>
      <c r="D4" s="9"/>
      <c r="E4" s="1" t="s">
        <v>27</v>
      </c>
      <c r="F4" s="9"/>
    </row>
    <row r="5" spans="2:9" x14ac:dyDescent="0.3">
      <c r="C5">
        <v>1</v>
      </c>
      <c r="D5" s="10" t="str">
        <f>VLOOKUP(C5,ref_reviu_item_ku!$B$2:$D$11,2)</f>
        <v>Reviu Dokumen Anggaran Belanja (DIPA atau RKA-U)</v>
      </c>
      <c r="E5" s="5">
        <v>1</v>
      </c>
      <c r="F5" s="10" t="str">
        <f>VLOOKUP(E5,ref_item_tanya_ku!$B$2:$D$34,2)</f>
        <v>Apakah Pemaketan Pengadaan Barang/Jasa yang dilakukan sudah berorientasi pada:
a. keluaran atau hasil;
b. volume barang/jasa;
c. ketersediaan barang/jasa;
Peraturan Rektor Nomor : 196 Tahun 2021</v>
      </c>
    </row>
    <row r="6" spans="2:9" x14ac:dyDescent="0.3">
      <c r="C6">
        <v>1</v>
      </c>
      <c r="D6" s="10" t="str">
        <f>VLOOKUP(C6,ref_reviu_item_ku!$B$2:$D$11,2)</f>
        <v>Reviu Dokumen Anggaran Belanja (DIPA atau RKA-U)</v>
      </c>
      <c r="E6" s="5">
        <v>2</v>
      </c>
      <c r="F6" s="10" t="str">
        <f>VLOOKUP(E6,ref_item_tanya_ku!$B$2:$D$34,2)</f>
        <v>Bagaimana kepastian ketersediaan anggaran ?</v>
      </c>
    </row>
    <row r="7" spans="2:9" x14ac:dyDescent="0.3">
      <c r="C7">
        <v>1</v>
      </c>
      <c r="D7" s="10" t="str">
        <f>VLOOKUP(C7,ref_reviu_item_ku!$B$2:$D$11,2)</f>
        <v>Reviu Dokumen Anggaran Belanja (DIPA atau RKA-U)</v>
      </c>
      <c r="E7" s="5">
        <v>3</v>
      </c>
      <c r="F7" s="10" t="str">
        <f>VLOOKUP(E7,ref_item_tanya_ku!$B$2:$D$34,2)</f>
        <v>Bersumber dari manakah pagu dalam pelaksanaan kegiatan ini? (DIPA BLU / RM)
Sumber: RKA-KL DIPA Universitas Terbuka</v>
      </c>
    </row>
    <row r="8" spans="2:9" x14ac:dyDescent="0.3">
      <c r="C8">
        <v>2</v>
      </c>
      <c r="D8" s="10" t="str">
        <f>VLOOKUP(C8,ref_reviu_item_ku!$B$2:$D$11,2)</f>
        <v>Reviu ID Paket RUP</v>
      </c>
      <c r="E8" s="5">
        <v>4</v>
      </c>
      <c r="F8" s="10" t="str">
        <f>VLOOKUP(E8,ref_item_tanya_ku!$B$2:$D$34,2)</f>
        <v>Apakah paket RUP yang akan dilaksanakan telah terdaftar dalam SI-PPAN?</v>
      </c>
    </row>
    <row r="9" spans="2:9" x14ac:dyDescent="0.3">
      <c r="C9">
        <v>2</v>
      </c>
      <c r="D9" s="10" t="str">
        <f>VLOOKUP(C9,ref_reviu_item_ku!$B$2:$D$11,2)</f>
        <v>Reviu ID Paket RUP</v>
      </c>
      <c r="E9" s="5">
        <v>5</v>
      </c>
      <c r="F9" s="10" t="str">
        <f>VLOOKUP(E9,ref_item_tanya_ku!$B$2:$D$34,2)</f>
        <v>Apakah pengisian sudah benar?</v>
      </c>
      <c r="I9" s="1"/>
    </row>
    <row r="10" spans="2:9" x14ac:dyDescent="0.3">
      <c r="C10">
        <v>3</v>
      </c>
      <c r="D10" s="10" t="str">
        <f>VLOOKUP(C10,ref_reviu_item_ku!$B$2:$D$11,2)</f>
        <v>Reviu Waktu Penggunaan Barang/Jasa</v>
      </c>
      <c r="E10" s="5">
        <v>6</v>
      </c>
      <c r="F10" s="10" t="str">
        <f>VLOOKUP(E10,ref_item_tanya_ku!$B$2:$D$34,2)</f>
        <v>Apakah waktu dalam pelaksanaan pekerjaan ini, sudah mencukupi sampai dengan serah terima pekerjaan?
(Satuan waktu yang dimaksud, adalah hari kalender atau kerja)</v>
      </c>
    </row>
    <row r="11" spans="2:9" x14ac:dyDescent="0.3">
      <c r="C11">
        <v>3</v>
      </c>
      <c r="D11" s="10" t="str">
        <f>VLOOKUP(C11,ref_reviu_item_ku!$B$2:$D$11,2)</f>
        <v>Reviu Waktu Penggunaan Barang/Jasa</v>
      </c>
      <c r="E11" s="5">
        <v>7</v>
      </c>
      <c r="F11" s="10" t="str">
        <f>VLOOKUP(E11,ref_item_tanya_ku!$B$2:$D$34,2)</f>
        <v>Apakah PPK akan memberikan kebijakan tertentu atau memberikan toleransi kepada penyedia dalam alokasi waktu?</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734A0-C66F-4BBB-93DF-A3F341E7A4C1}">
  <dimension ref="B2:C6"/>
  <sheetViews>
    <sheetView topLeftCell="A2" workbookViewId="0">
      <selection activeCell="C2" sqref="C2"/>
    </sheetView>
  </sheetViews>
  <sheetFormatPr defaultRowHeight="14.4" x14ac:dyDescent="0.3"/>
  <cols>
    <col min="2" max="2" width="8.77734375" bestFit="1" customWidth="1"/>
    <col min="3" max="3" width="14.5546875" bestFit="1" customWidth="1"/>
  </cols>
  <sheetData>
    <row r="2" spans="2:3" x14ac:dyDescent="0.3">
      <c r="B2" s="1" t="s">
        <v>3</v>
      </c>
      <c r="C2" s="1" t="s">
        <v>77</v>
      </c>
    </row>
    <row r="3" spans="2:3" x14ac:dyDescent="0.3">
      <c r="B3">
        <v>1</v>
      </c>
      <c r="C3" t="s">
        <v>20</v>
      </c>
    </row>
    <row r="4" spans="2:3" x14ac:dyDescent="0.3">
      <c r="B4">
        <v>2</v>
      </c>
      <c r="C4" t="s">
        <v>21</v>
      </c>
    </row>
    <row r="5" spans="2:3" x14ac:dyDescent="0.3">
      <c r="B5">
        <v>3</v>
      </c>
      <c r="C5" t="s">
        <v>22</v>
      </c>
    </row>
    <row r="6" spans="2:3" x14ac:dyDescent="0.3">
      <c r="B6">
        <v>4</v>
      </c>
      <c r="C6" t="s">
        <v>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3662A-A288-4004-A0BF-C6F8BAEBAD54}">
  <dimension ref="B2:G32"/>
  <sheetViews>
    <sheetView workbookViewId="0">
      <selection activeCell="B2" sqref="B2:G2"/>
    </sheetView>
  </sheetViews>
  <sheetFormatPr defaultRowHeight="14.4" x14ac:dyDescent="0.3"/>
  <cols>
    <col min="2" max="2" width="18.6640625" bestFit="1" customWidth="1"/>
    <col min="3" max="3" width="19.77734375" bestFit="1" customWidth="1"/>
    <col min="4" max="4" width="14.21875" style="2" bestFit="1" customWidth="1"/>
    <col min="5" max="5" width="7.33203125" bestFit="1" customWidth="1"/>
    <col min="6" max="6" width="16.33203125" customWidth="1"/>
    <col min="7" max="7" width="44.21875" style="2" bestFit="1" customWidth="1"/>
  </cols>
  <sheetData>
    <row r="2" spans="2:7" x14ac:dyDescent="0.3">
      <c r="B2" s="6" t="s">
        <v>44</v>
      </c>
      <c r="C2" s="6"/>
      <c r="D2" s="6"/>
      <c r="E2" s="6"/>
      <c r="F2" s="6"/>
      <c r="G2" s="6"/>
    </row>
    <row r="4" spans="2:7" s="1" customFormat="1" x14ac:dyDescent="0.3">
      <c r="B4" s="1" t="s">
        <v>43</v>
      </c>
      <c r="C4" s="1" t="s">
        <v>5</v>
      </c>
      <c r="D4" s="3"/>
      <c r="E4" s="1" t="s">
        <v>29</v>
      </c>
      <c r="F4" s="1" t="s">
        <v>24</v>
      </c>
      <c r="G4" s="3"/>
    </row>
    <row r="5" spans="2:7" x14ac:dyDescent="0.3">
      <c r="B5">
        <v>1</v>
      </c>
      <c r="C5">
        <v>1</v>
      </c>
      <c r="D5" s="2" t="str">
        <f>VLOOKUP(C5,ref_jenis_pengadaan!$B$2:$C$6,2)</f>
        <v>Barang</v>
      </c>
      <c r="E5">
        <v>1</v>
      </c>
      <c r="F5">
        <v>1</v>
      </c>
      <c r="G5" s="2" t="str">
        <f>VLOOKUP(F5,ref_reviu_item_ku!$B$2:$C$11,2)</f>
        <v>Reviu Dokumen Anggaran Belanja (DIPA atau RKA-U)</v>
      </c>
    </row>
    <row r="6" spans="2:7" x14ac:dyDescent="0.3">
      <c r="B6">
        <v>2</v>
      </c>
      <c r="C6">
        <v>1</v>
      </c>
      <c r="D6" s="2" t="str">
        <f>VLOOKUP(C6,ref_jenis_pengadaan!$B$2:$C$6,2)</f>
        <v>Barang</v>
      </c>
      <c r="E6">
        <v>2</v>
      </c>
      <c r="F6">
        <v>2</v>
      </c>
      <c r="G6" s="2" t="str">
        <f>VLOOKUP(F6,ref_reviu_item_ku!$B$2:$C$11,2)</f>
        <v>Reviu ID Paket RUP</v>
      </c>
    </row>
    <row r="7" spans="2:7" x14ac:dyDescent="0.3">
      <c r="B7">
        <v>3</v>
      </c>
      <c r="C7">
        <v>1</v>
      </c>
      <c r="D7" s="2" t="str">
        <f>VLOOKUP(C7,ref_jenis_pengadaan!$B$2:$C$6,2)</f>
        <v>Barang</v>
      </c>
      <c r="E7">
        <v>3</v>
      </c>
      <c r="F7">
        <v>3</v>
      </c>
      <c r="G7" s="2" t="str">
        <f>VLOOKUP(F7,ref_reviu_item_ku!$B$2:$C$11,2)</f>
        <v>Reviu Waktu Penggunaan Barang/Jasa</v>
      </c>
    </row>
    <row r="8" spans="2:7" x14ac:dyDescent="0.3">
      <c r="B8">
        <v>4</v>
      </c>
      <c r="C8">
        <v>1</v>
      </c>
      <c r="D8" s="2" t="str">
        <f>VLOOKUP(C8,ref_jenis_pengadaan!$B$2:$C$6,2)</f>
        <v>Barang</v>
      </c>
      <c r="E8">
        <v>4</v>
      </c>
      <c r="F8">
        <v>4</v>
      </c>
      <c r="G8" s="2" t="str">
        <f>VLOOKUP(F8,ref_reviu_item_ku!$B$2:$C$11,2)</f>
        <v>Reviu Spesifikasi Teknis</v>
      </c>
    </row>
    <row r="9" spans="2:7" x14ac:dyDescent="0.3">
      <c r="B9">
        <v>5</v>
      </c>
      <c r="C9">
        <v>1</v>
      </c>
      <c r="D9" s="2" t="str">
        <f>VLOOKUP(C9,ref_jenis_pengadaan!$B$2:$C$6,2)</f>
        <v>Barang</v>
      </c>
      <c r="E9">
        <v>5</v>
      </c>
      <c r="F9">
        <v>7</v>
      </c>
      <c r="G9" s="2" t="str">
        <f>VLOOKUP(F9,ref_reviu_item_ku!$B$2:$C$11,2)</f>
        <v>Reviu Harga Perkiraan Sendiri (HPS)</v>
      </c>
    </row>
    <row r="10" spans="2:7" x14ac:dyDescent="0.3">
      <c r="B10">
        <v>6</v>
      </c>
      <c r="C10">
        <v>1</v>
      </c>
      <c r="D10" s="2" t="str">
        <f>VLOOKUP(C10,ref_jenis_pengadaan!$B$2:$C$6,2)</f>
        <v>Barang</v>
      </c>
      <c r="E10">
        <v>6</v>
      </c>
      <c r="F10">
        <v>8</v>
      </c>
      <c r="G10" s="2" t="str">
        <f>VLOOKUP(F10,ref_reviu_item_ku!$B$2:$C$11,2)</f>
        <v>Reviu Rancangan Kontrak / Perjanjian</v>
      </c>
    </row>
    <row r="11" spans="2:7" x14ac:dyDescent="0.3">
      <c r="B11">
        <v>7</v>
      </c>
      <c r="C11">
        <v>1</v>
      </c>
      <c r="D11" s="2" t="str">
        <f>VLOOKUP(C11,ref_jenis_pengadaan!$B$2:$C$6,2)</f>
        <v>Barang</v>
      </c>
      <c r="E11">
        <v>7</v>
      </c>
      <c r="F11">
        <v>9</v>
      </c>
      <c r="G11" s="2" t="str">
        <f>VLOOKUP(F11,ref_reviu_item_ku!$B$2:$C$11,2)</f>
        <v>Reviu Analisis Pasar</v>
      </c>
    </row>
    <row r="12" spans="2:7" x14ac:dyDescent="0.3">
      <c r="B12">
        <v>8</v>
      </c>
      <c r="C12">
        <v>2</v>
      </c>
      <c r="D12" s="2" t="str">
        <f>VLOOKUP(C12,ref_jenis_pengadaan!$B$2:$C$6,2)</f>
        <v>Konstruksi</v>
      </c>
      <c r="E12">
        <v>1</v>
      </c>
      <c r="F12">
        <v>1</v>
      </c>
      <c r="G12" s="2" t="str">
        <f>VLOOKUP(F12,ref_reviu_item_ku!$B$2:$C$11,2)</f>
        <v>Reviu Dokumen Anggaran Belanja (DIPA atau RKA-U)</v>
      </c>
    </row>
    <row r="13" spans="2:7" x14ac:dyDescent="0.3">
      <c r="B13">
        <v>9</v>
      </c>
      <c r="C13">
        <v>2</v>
      </c>
      <c r="D13" s="2" t="str">
        <f>VLOOKUP(C13,ref_jenis_pengadaan!$B$2:$C$6,2)</f>
        <v>Konstruksi</v>
      </c>
      <c r="E13">
        <v>2</v>
      </c>
      <c r="F13">
        <v>2</v>
      </c>
      <c r="G13" s="2" t="str">
        <f>VLOOKUP(F13,ref_reviu_item_ku!$B$2:$C$11,2)</f>
        <v>Reviu ID Paket RUP</v>
      </c>
    </row>
    <row r="14" spans="2:7" x14ac:dyDescent="0.3">
      <c r="B14">
        <v>10</v>
      </c>
      <c r="C14">
        <v>2</v>
      </c>
      <c r="D14" s="2" t="str">
        <f>VLOOKUP(C14,ref_jenis_pengadaan!$B$2:$C$6,2)</f>
        <v>Konstruksi</v>
      </c>
      <c r="E14">
        <v>3</v>
      </c>
      <c r="F14">
        <v>3</v>
      </c>
      <c r="G14" s="2" t="str">
        <f>VLOOKUP(F14,ref_reviu_item_ku!$B$2:$C$11,2)</f>
        <v>Reviu Waktu Penggunaan Barang/Jasa</v>
      </c>
    </row>
    <row r="15" spans="2:7" x14ac:dyDescent="0.3">
      <c r="B15">
        <v>11</v>
      </c>
      <c r="C15">
        <v>2</v>
      </c>
      <c r="D15" s="2" t="str">
        <f>VLOOKUP(C15,ref_jenis_pengadaan!$B$2:$C$6,2)</f>
        <v>Konstruksi</v>
      </c>
      <c r="E15">
        <v>4</v>
      </c>
      <c r="F15">
        <v>6</v>
      </c>
      <c r="G15" s="2" t="str">
        <f>VLOOKUP(F15,ref_reviu_item_ku!$B$2:$C$11,2)</f>
        <v>Reviu Spesifikasi Teknis dan Gambar</v>
      </c>
    </row>
    <row r="16" spans="2:7" x14ac:dyDescent="0.3">
      <c r="B16">
        <v>12</v>
      </c>
      <c r="C16">
        <v>2</v>
      </c>
      <c r="D16" s="2" t="str">
        <f>VLOOKUP(C16,ref_jenis_pengadaan!$B$2:$C$6,2)</f>
        <v>Konstruksi</v>
      </c>
      <c r="E16">
        <v>5</v>
      </c>
      <c r="F16">
        <v>7</v>
      </c>
      <c r="G16" s="2" t="str">
        <f>VLOOKUP(F16,ref_reviu_item_ku!$B$2:$C$11,2)</f>
        <v>Reviu Harga Perkiraan Sendiri (HPS)</v>
      </c>
    </row>
    <row r="17" spans="2:7" x14ac:dyDescent="0.3">
      <c r="B17">
        <v>13</v>
      </c>
      <c r="C17">
        <v>2</v>
      </c>
      <c r="D17" s="2" t="str">
        <f>VLOOKUP(C17,ref_jenis_pengadaan!$B$2:$C$6,2)</f>
        <v>Konstruksi</v>
      </c>
      <c r="E17">
        <v>6</v>
      </c>
      <c r="F17">
        <v>8</v>
      </c>
      <c r="G17" s="2" t="str">
        <f>VLOOKUP(F17,ref_reviu_item_ku!$B$2:$C$11,2)</f>
        <v>Reviu Rancangan Kontrak / Perjanjian</v>
      </c>
    </row>
    <row r="18" spans="2:7" x14ac:dyDescent="0.3">
      <c r="B18">
        <v>14</v>
      </c>
      <c r="C18">
        <v>2</v>
      </c>
      <c r="D18" s="2" t="str">
        <f>VLOOKUP(C18,ref_jenis_pengadaan!$B$2:$C$6,2)</f>
        <v>Konstruksi</v>
      </c>
      <c r="E18">
        <v>7</v>
      </c>
      <c r="F18">
        <v>9</v>
      </c>
      <c r="G18" s="2" t="str">
        <f>VLOOKUP(F18,ref_reviu_item_ku!$B$2:$C$11,2)</f>
        <v>Reviu Analisis Pasar</v>
      </c>
    </row>
    <row r="19" spans="2:7" x14ac:dyDescent="0.3">
      <c r="B19">
        <v>15</v>
      </c>
      <c r="C19">
        <v>3</v>
      </c>
      <c r="D19" s="2" t="str">
        <f>VLOOKUP(C19,ref_jenis_pengadaan!$B$2:$C$6,2)</f>
        <v>Jasa Konsultansi</v>
      </c>
      <c r="E19">
        <v>1</v>
      </c>
      <c r="F19">
        <v>1</v>
      </c>
      <c r="G19" s="2" t="str">
        <f>VLOOKUP(F19,ref_reviu_item_ku!$B$2:$C$11,2)</f>
        <v>Reviu Dokumen Anggaran Belanja (DIPA atau RKA-U)</v>
      </c>
    </row>
    <row r="20" spans="2:7" x14ac:dyDescent="0.3">
      <c r="B20">
        <v>16</v>
      </c>
      <c r="C20">
        <v>3</v>
      </c>
      <c r="D20" s="2" t="str">
        <f>VLOOKUP(C20,ref_jenis_pengadaan!$B$2:$C$6,2)</f>
        <v>Jasa Konsultansi</v>
      </c>
      <c r="E20">
        <v>2</v>
      </c>
      <c r="F20">
        <v>2</v>
      </c>
      <c r="G20" s="2" t="str">
        <f>VLOOKUP(F20,ref_reviu_item_ku!$B$2:$C$11,2)</f>
        <v>Reviu ID Paket RUP</v>
      </c>
    </row>
    <row r="21" spans="2:7" x14ac:dyDescent="0.3">
      <c r="B21">
        <v>17</v>
      </c>
      <c r="C21">
        <v>3</v>
      </c>
      <c r="D21" s="2" t="str">
        <f>VLOOKUP(C21,ref_jenis_pengadaan!$B$2:$C$6,2)</f>
        <v>Jasa Konsultansi</v>
      </c>
      <c r="E21">
        <v>3</v>
      </c>
      <c r="F21">
        <v>3</v>
      </c>
      <c r="G21" s="2" t="str">
        <f>VLOOKUP(F21,ref_reviu_item_ku!$B$2:$C$11,2)</f>
        <v>Reviu Waktu Penggunaan Barang/Jasa</v>
      </c>
    </row>
    <row r="22" spans="2:7" x14ac:dyDescent="0.3">
      <c r="B22">
        <v>18</v>
      </c>
      <c r="C22">
        <v>3</v>
      </c>
      <c r="D22" s="2" t="str">
        <f>VLOOKUP(C22,ref_jenis_pengadaan!$B$2:$C$6,2)</f>
        <v>Jasa Konsultansi</v>
      </c>
      <c r="E22">
        <v>4</v>
      </c>
      <c r="F22">
        <v>5</v>
      </c>
      <c r="G22" s="2" t="str">
        <f>VLOOKUP(F22,ref_reviu_item_ku!$B$2:$C$11,2)</f>
        <v>Reviu KAK</v>
      </c>
    </row>
    <row r="23" spans="2:7" x14ac:dyDescent="0.3">
      <c r="B23">
        <v>19</v>
      </c>
      <c r="C23">
        <v>3</v>
      </c>
      <c r="D23" s="2" t="str">
        <f>VLOOKUP(C23,ref_jenis_pengadaan!$B$2:$C$6,2)</f>
        <v>Jasa Konsultansi</v>
      </c>
      <c r="E23">
        <v>5</v>
      </c>
      <c r="F23">
        <v>7</v>
      </c>
      <c r="G23" s="2" t="str">
        <f>VLOOKUP(F23,ref_reviu_item_ku!$B$2:$C$11,2)</f>
        <v>Reviu Harga Perkiraan Sendiri (HPS)</v>
      </c>
    </row>
    <row r="24" spans="2:7" x14ac:dyDescent="0.3">
      <c r="B24">
        <v>20</v>
      </c>
      <c r="C24">
        <v>3</v>
      </c>
      <c r="D24" s="2" t="str">
        <f>VLOOKUP(C24,ref_jenis_pengadaan!$B$2:$C$6,2)</f>
        <v>Jasa Konsultansi</v>
      </c>
      <c r="E24">
        <v>6</v>
      </c>
      <c r="F24">
        <v>8</v>
      </c>
      <c r="G24" s="2" t="str">
        <f>VLOOKUP(F24,ref_reviu_item_ku!$B$2:$C$11,2)</f>
        <v>Reviu Rancangan Kontrak / Perjanjian</v>
      </c>
    </row>
    <row r="25" spans="2:7" x14ac:dyDescent="0.3">
      <c r="B25">
        <v>21</v>
      </c>
      <c r="C25">
        <v>3</v>
      </c>
      <c r="D25" s="2" t="str">
        <f>VLOOKUP(C25,ref_jenis_pengadaan!$B$2:$C$6,2)</f>
        <v>Jasa Konsultansi</v>
      </c>
      <c r="E25">
        <v>7</v>
      </c>
      <c r="F25">
        <v>9</v>
      </c>
      <c r="G25" s="2" t="str">
        <f>VLOOKUP(F25,ref_reviu_item_ku!$B$2:$C$11,2)</f>
        <v>Reviu Analisis Pasar</v>
      </c>
    </row>
    <row r="26" spans="2:7" x14ac:dyDescent="0.3">
      <c r="B26">
        <v>22</v>
      </c>
      <c r="C26">
        <v>4</v>
      </c>
      <c r="D26" s="2" t="str">
        <f>VLOOKUP(C26,ref_jenis_pengadaan!$B$2:$C$6,2)</f>
        <v>Jasa Lainnya</v>
      </c>
      <c r="E26">
        <v>1</v>
      </c>
      <c r="F26">
        <v>1</v>
      </c>
      <c r="G26" s="2" t="str">
        <f>VLOOKUP(F26,ref_reviu_item_ku!$B$2:$C$11,2)</f>
        <v>Reviu Dokumen Anggaran Belanja (DIPA atau RKA-U)</v>
      </c>
    </row>
    <row r="27" spans="2:7" x14ac:dyDescent="0.3">
      <c r="B27">
        <v>23</v>
      </c>
      <c r="C27">
        <v>4</v>
      </c>
      <c r="D27" s="2" t="str">
        <f>VLOOKUP(C27,ref_jenis_pengadaan!$B$2:$C$6,2)</f>
        <v>Jasa Lainnya</v>
      </c>
      <c r="E27">
        <v>2</v>
      </c>
      <c r="F27">
        <v>2</v>
      </c>
      <c r="G27" s="2" t="str">
        <f>VLOOKUP(F27,ref_reviu_item_ku!$B$2:$C$11,2)</f>
        <v>Reviu ID Paket RUP</v>
      </c>
    </row>
    <row r="28" spans="2:7" x14ac:dyDescent="0.3">
      <c r="B28">
        <v>24</v>
      </c>
      <c r="C28">
        <v>4</v>
      </c>
      <c r="D28" s="2" t="str">
        <f>VLOOKUP(C28,ref_jenis_pengadaan!$B$2:$C$6,2)</f>
        <v>Jasa Lainnya</v>
      </c>
      <c r="E28">
        <v>3</v>
      </c>
      <c r="F28">
        <v>3</v>
      </c>
      <c r="G28" s="2" t="str">
        <f>VLOOKUP(F28,ref_reviu_item_ku!$B$2:$C$11,2)</f>
        <v>Reviu Waktu Penggunaan Barang/Jasa</v>
      </c>
    </row>
    <row r="29" spans="2:7" x14ac:dyDescent="0.3">
      <c r="B29">
        <v>25</v>
      </c>
      <c r="C29">
        <v>4</v>
      </c>
      <c r="D29" s="2" t="str">
        <f>VLOOKUP(C29,ref_jenis_pengadaan!$B$2:$C$6,2)</f>
        <v>Jasa Lainnya</v>
      </c>
      <c r="E29">
        <v>4</v>
      </c>
      <c r="F29">
        <v>4</v>
      </c>
      <c r="G29" s="2" t="str">
        <f>VLOOKUP(F29,ref_reviu_item_ku!$B$2:$C$11,2)</f>
        <v>Reviu Spesifikasi Teknis</v>
      </c>
    </row>
    <row r="30" spans="2:7" x14ac:dyDescent="0.3">
      <c r="B30">
        <v>26</v>
      </c>
      <c r="C30">
        <v>4</v>
      </c>
      <c r="D30" s="2" t="str">
        <f>VLOOKUP(C30,ref_jenis_pengadaan!$B$2:$C$6,2)</f>
        <v>Jasa Lainnya</v>
      </c>
      <c r="E30">
        <v>5</v>
      </c>
      <c r="F30">
        <v>7</v>
      </c>
      <c r="G30" s="2" t="str">
        <f>VLOOKUP(F30,ref_reviu_item_ku!$B$2:$C$11,2)</f>
        <v>Reviu Harga Perkiraan Sendiri (HPS)</v>
      </c>
    </row>
    <row r="31" spans="2:7" x14ac:dyDescent="0.3">
      <c r="B31">
        <v>27</v>
      </c>
      <c r="C31">
        <v>4</v>
      </c>
      <c r="D31" s="2" t="str">
        <f>VLOOKUP(C31,ref_jenis_pengadaan!$B$2:$C$6,2)</f>
        <v>Jasa Lainnya</v>
      </c>
      <c r="E31">
        <v>6</v>
      </c>
      <c r="F31">
        <v>8</v>
      </c>
      <c r="G31" s="2" t="str">
        <f>VLOOKUP(F31,ref_reviu_item_ku!$B$2:$C$11,2)</f>
        <v>Reviu Rancangan Kontrak / Perjanjian</v>
      </c>
    </row>
    <row r="32" spans="2:7" x14ac:dyDescent="0.3">
      <c r="B32">
        <v>28</v>
      </c>
      <c r="C32">
        <v>4</v>
      </c>
      <c r="D32" s="2" t="str">
        <f>VLOOKUP(C32,ref_jenis_pengadaan!$B$2:$C$6,2)</f>
        <v>Jasa Lainnya</v>
      </c>
      <c r="E32">
        <v>7</v>
      </c>
      <c r="F32">
        <v>9</v>
      </c>
      <c r="G32" s="2" t="str">
        <f>VLOOKUP(F32,ref_reviu_item_ku!$B$2:$C$11,2)</f>
        <v>Reviu Analisis Pasar</v>
      </c>
    </row>
  </sheetData>
  <mergeCells count="1">
    <mergeCell ref="B2:G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4B9F4-402A-46E2-BBFB-519B6D9CCDF5}">
  <dimension ref="B2:H4"/>
  <sheetViews>
    <sheetView tabSelected="1" workbookViewId="0">
      <selection activeCell="C3" sqref="C3"/>
    </sheetView>
  </sheetViews>
  <sheetFormatPr defaultRowHeight="14.4" x14ac:dyDescent="0.3"/>
  <cols>
    <col min="2" max="2" width="17.33203125" bestFit="1" customWidth="1"/>
    <col min="3" max="3" width="11.44140625" bestFit="1" customWidth="1"/>
    <col min="4" max="4" width="15.5546875" customWidth="1"/>
    <col min="5" max="5" width="44" style="2" customWidth="1"/>
    <col min="6" max="6" width="15.88671875" bestFit="1" customWidth="1"/>
    <col min="7" max="7" width="32.6640625" style="2" customWidth="1"/>
    <col min="8" max="8" width="23.33203125" customWidth="1"/>
  </cols>
  <sheetData>
    <row r="2" spans="2:8" x14ac:dyDescent="0.3">
      <c r="B2" s="1" t="s">
        <v>26</v>
      </c>
      <c r="C2" s="1" t="s">
        <v>78</v>
      </c>
      <c r="D2" s="1" t="s">
        <v>24</v>
      </c>
      <c r="E2" s="3"/>
      <c r="F2" s="1" t="s">
        <v>27</v>
      </c>
      <c r="G2" s="3"/>
      <c r="H2" s="1" t="s">
        <v>2</v>
      </c>
    </row>
    <row r="3" spans="2:8" x14ac:dyDescent="0.3">
      <c r="B3">
        <v>1</v>
      </c>
      <c r="C3">
        <v>1</v>
      </c>
      <c r="D3">
        <v>1</v>
      </c>
      <c r="E3" s="2" t="str">
        <f>VLOOKUP(D3,ref_reviu_item_ku!$B$2:$C$11,2)</f>
        <v>Reviu Dokumen Anggaran Belanja (DIPA atau RKA-U)</v>
      </c>
      <c r="F3">
        <v>1</v>
      </c>
      <c r="G3" s="2" t="str">
        <f>VLOOKUP(F3,ref_item_tanya_ku!$B$2:$C$4,2)</f>
        <v>Apakah Pemaketan Pengadaan Barang/Jasa yang dilakukan sudah berorientasi pada:
a. keluaran atau hasil;
b. volume barang/jasa;
c. ketersediaan barang/jasa;
Peraturan Rektor Nomor : 196 Tahun 2021</v>
      </c>
      <c r="H3" t="s">
        <v>31</v>
      </c>
    </row>
    <row r="4" spans="2:8" x14ac:dyDescent="0.3">
      <c r="B4">
        <v>2</v>
      </c>
      <c r="C4">
        <v>1</v>
      </c>
      <c r="D4">
        <v>1</v>
      </c>
      <c r="E4" s="2" t="str">
        <f>VLOOKUP(D4,ref_reviu_item_ku!$B$2:$C$11,2)</f>
        <v>Reviu Dokumen Anggaran Belanja (DIPA atau RKA-U)</v>
      </c>
      <c r="F4">
        <v>2</v>
      </c>
      <c r="G4" s="2" t="str">
        <f>VLOOKUP(F4,ref_item_tanya_ku!$B$2:$C$4,2)</f>
        <v>Bagaimana kepastian ketersediaan anggaran ?</v>
      </c>
      <c r="H4" t="s">
        <v>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4A9BA-2115-471A-870F-231B7C8056F3}">
  <dimension ref="C3:G5"/>
  <sheetViews>
    <sheetView workbookViewId="0">
      <selection activeCell="D4" sqref="D4"/>
    </sheetView>
  </sheetViews>
  <sheetFormatPr defaultRowHeight="14.4" x14ac:dyDescent="0.3"/>
  <cols>
    <col min="3" max="3" width="22" bestFit="1" customWidth="1"/>
    <col min="4" max="4" width="11.44140625" bestFit="1" customWidth="1"/>
    <col min="5" max="5" width="15.109375" bestFit="1" customWidth="1"/>
    <col min="6" max="6" width="11.88671875" bestFit="1" customWidth="1"/>
    <col min="7" max="7" width="10" bestFit="1" customWidth="1"/>
    <col min="9" max="9" width="13.88671875" bestFit="1" customWidth="1"/>
    <col min="10" max="10" width="13.88671875" customWidth="1"/>
  </cols>
  <sheetData>
    <row r="3" spans="3:7" s="1" customFormat="1" x14ac:dyDescent="0.3">
      <c r="C3" s="1" t="s">
        <v>25</v>
      </c>
      <c r="D3" s="1" t="s">
        <v>78</v>
      </c>
      <c r="E3" s="1" t="s">
        <v>24</v>
      </c>
      <c r="F3" s="1" t="s">
        <v>0</v>
      </c>
      <c r="G3" s="1" t="s">
        <v>1</v>
      </c>
    </row>
    <row r="4" spans="3:7" x14ac:dyDescent="0.3">
      <c r="D4">
        <v>1</v>
      </c>
      <c r="E4">
        <v>1</v>
      </c>
    </row>
    <row r="5" spans="3:7" x14ac:dyDescent="0.3">
      <c r="D5">
        <v>1</v>
      </c>
      <c r="E5">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ref_jenis_pengadaan</vt:lpstr>
      <vt:lpstr>ref_reviu_item_ku</vt:lpstr>
      <vt:lpstr>ref_item_tanya_ku</vt:lpstr>
      <vt:lpstr>trx_reviu_item_item_tanya</vt:lpstr>
      <vt:lpstr>ref_multiple_choice_ku</vt:lpstr>
      <vt:lpstr>trx_jenis_pengadaan_reviu_item</vt:lpstr>
      <vt:lpstr>trx_tanya_jawab_ku</vt:lpstr>
      <vt:lpstr>trx_rekomen_tanggap_ku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Rafli Alfazri</dc:creator>
  <cp:lastModifiedBy>Rafli Alfazri</cp:lastModifiedBy>
  <dcterms:created xsi:type="dcterms:W3CDTF">2025-07-26T21:16:39Z</dcterms:created>
  <dcterms:modified xsi:type="dcterms:W3CDTF">2025-07-29T23:02:32Z</dcterms:modified>
</cp:coreProperties>
</file>